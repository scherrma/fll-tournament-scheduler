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7A47F28D-EA23-4880-B551-767C1C0B61DB}" xr6:coauthVersionLast="40" xr6:coauthVersionMax="40" xr10:uidLastSave="{00000000-0000-0000-0000-000000000000}"/>
  <bookViews>
    <workbookView xWindow="-103" yWindow="-103" windowWidth="25920" windowHeight="16749" activeTab="1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<sst xmlns="http://schemas.openxmlformats.org/spreadsheetml/2006/main" count="236" uniqueCount="235">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</sst>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opLeftCell="B3" workbookViewId="0">
      <selection activeCell="H23" sqref="H23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181</v>
      </c>
      <c r="B1" s="16" t="s">
        <v>180</v>
      </c>
      <c r="C1" s="13" t="s">
        <v>182</v>
      </c>
    </row>
    <row r="2" spans="1:13" s="4" customFormat="1" ht="18.45" x14ac:dyDescent="0.5">
      <c r="A2" s="35" t="s">
        <v>175</v>
      </c>
      <c r="B2" s="5" t="s">
        <v>125</v>
      </c>
      <c r="C2" s="41" t="s">
        <v>143</v>
      </c>
      <c r="D2" s="41"/>
      <c r="E2" s="41"/>
      <c r="F2" s="41"/>
      <c r="G2" s="41"/>
      <c r="H2" s="41"/>
      <c r="I2" s="41"/>
      <c r="J2" s="41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8" t="s">
        <v>138</v>
      </c>
      <c r="F3" s="38"/>
      <c r="G3" s="38"/>
      <c r="H3" s="38"/>
      <c r="I3" s="38"/>
      <c r="J3" s="11">
        <f>C19 - TIME(0, C14, 0)  + TIME(0, C29, 0) + TIME(0, SUM(E32:L32), 0)*_xlfn.CEILING.MATH(C3/(2*C27))</f>
        <v>0.60949074074074083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161</v>
      </c>
      <c r="B6" s="8" t="s">
        <v>126</v>
      </c>
      <c r="C6" s="21" t="s">
        <v>127</v>
      </c>
      <c r="D6" s="39" t="s">
        <v>160</v>
      </c>
      <c r="E6" s="40"/>
      <c r="F6" s="40"/>
      <c r="G6" s="40"/>
      <c r="H6" s="40"/>
      <c r="I6" s="40"/>
      <c r="J6" s="40"/>
      <c r="K6" s="40"/>
      <c r="L6" s="40"/>
      <c r="M6" s="34"/>
    </row>
    <row r="7" spans="1:13" x14ac:dyDescent="0.4">
      <c r="A7" s="36" t="s">
        <v>162</v>
      </c>
      <c r="B7" s="8" t="s">
        <v>147</v>
      </c>
      <c r="C7" s="21">
        <v>12.5</v>
      </c>
      <c r="D7" s="39"/>
      <c r="E7" s="40"/>
      <c r="F7" s="40"/>
      <c r="G7" s="40"/>
      <c r="H7" s="40"/>
      <c r="I7" s="40"/>
      <c r="J7" s="40"/>
      <c r="K7" s="40"/>
      <c r="L7" s="40"/>
      <c r="M7" s="34"/>
    </row>
    <row r="8" spans="1:13" x14ac:dyDescent="0.4">
      <c r="B8" s="12"/>
    </row>
    <row r="9" spans="1:13" x14ac:dyDescent="0.4">
      <c r="B9" s="12" t="s">
        <v>139</v>
      </c>
      <c r="D9" s="14" t="s">
        <v>128</v>
      </c>
    </row>
    <row r="10" spans="1:13" x14ac:dyDescent="0.4">
      <c r="A10" s="36" t="s">
        <v>179</v>
      </c>
      <c r="B10" s="8" t="s">
        <v>154</v>
      </c>
      <c r="C10" s="37">
        <v>0.375</v>
      </c>
      <c r="D10" s="28">
        <v>0.375</v>
      </c>
      <c r="E10" s="29"/>
    </row>
    <row r="11" spans="1:13" x14ac:dyDescent="0.4">
      <c r="A11" s="36" t="s">
        <v>163</v>
      </c>
      <c r="B11" s="8" t="s">
        <v>146</v>
      </c>
      <c r="C11" s="21">
        <v>4</v>
      </c>
      <c r="D11" s="27">
        <f>CEILING(C3/12, 1)</f>
        <v>4</v>
      </c>
      <c r="E11" s="26"/>
    </row>
    <row r="12" spans="1:13" x14ac:dyDescent="0.4">
      <c r="A12" s="36" t="s">
        <v>164</v>
      </c>
      <c r="B12" s="8" t="s">
        <v>144</v>
      </c>
      <c r="C12" s="21" t="s">
        <v>189</v>
      </c>
      <c r="D12" s="27" t="str">
        <f>IF(OR(MOD(C3, 2), C11 &gt; 2), "Yes", "No")</f>
        <v>Yes</v>
      </c>
      <c r="E12" s="26"/>
    </row>
    <row r="13" spans="1:13" x14ac:dyDescent="0.4">
      <c r="B13" s="8" t="s">
        <v>156</v>
      </c>
      <c r="C13" s="24">
        <f>IF(C12="Yes",1+_xlfn.CEILING.MATH((C3-1)/C11), _xlfn.CEILING.MATH(C3/C11))</f>
        <v>11</v>
      </c>
      <c r="D13" s="10" t="s">
        <v>157</v>
      </c>
      <c r="E13" s="26"/>
      <c r="F13" s="13"/>
    </row>
    <row r="14" spans="1:13" x14ac:dyDescent="0.4">
      <c r="A14" s="36" t="s">
        <v>165</v>
      </c>
      <c r="B14" s="8" t="s">
        <v>145</v>
      </c>
      <c r="C14" s="21">
        <v>17.5</v>
      </c>
      <c r="D14" s="10">
        <v>17.5</v>
      </c>
      <c r="E14" s="25"/>
    </row>
    <row r="15" spans="1:13" x14ac:dyDescent="0.4">
      <c r="A15" s="36" t="s">
        <v>166</v>
      </c>
      <c r="B15" s="8" t="s">
        <v>148</v>
      </c>
      <c r="C15" s="21">
        <v>3</v>
      </c>
      <c r="D15" s="10">
        <v>3</v>
      </c>
    </row>
    <row r="16" spans="1:13" x14ac:dyDescent="0.4">
      <c r="A16" s="36" t="s">
        <v>167</v>
      </c>
      <c r="B16" s="8" t="s">
        <v>149</v>
      </c>
      <c r="C16" s="21">
        <v>7.5</v>
      </c>
      <c r="D16" s="10">
        <f>MAX(C15*(20 - C14), 0)</f>
        <v>7.5</v>
      </c>
    </row>
    <row r="17" spans="1:13" x14ac:dyDescent="0.4">
      <c r="A17" s="36" t="s">
        <v>168</v>
      </c>
      <c r="B17" s="8" t="s">
        <v>150</v>
      </c>
      <c r="C17" s="37">
        <v>0.54166666666666663</v>
      </c>
      <c r="D17" s="15">
        <v>0.54166666666666663</v>
      </c>
    </row>
    <row r="18" spans="1:13" x14ac:dyDescent="0.4">
      <c r="A18" s="36" t="s">
        <v>169</v>
      </c>
      <c r="B18" s="8" t="s">
        <v>152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155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176</v>
      </c>
      <c r="B21" s="8" t="s">
        <v>123</v>
      </c>
      <c r="C21" s="20" t="s">
        <v>129</v>
      </c>
      <c r="D21" s="19" t="s">
        <v>130</v>
      </c>
      <c r="E21" s="18" t="s">
        <v>141</v>
      </c>
      <c r="F21" s="18" t="s">
        <v>158</v>
      </c>
      <c r="K21" s="19"/>
      <c r="L21" s="19"/>
      <c r="M21" s="19"/>
    </row>
    <row r="22" spans="1:13" s="18" customFormat="1" x14ac:dyDescent="0.4">
      <c r="A22" s="36" t="s">
        <v>177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178</v>
      </c>
      <c r="B23" s="8" t="s">
        <v>136</v>
      </c>
      <c r="C23" s="18" t="s">
        <v>191</v>
      </c>
      <c r="D23" s="19" t="s">
        <v>190</v>
      </c>
      <c r="E23" s="18" t="s">
        <v>192</v>
      </c>
      <c r="F23" s="18" t="s">
        <v>193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140</v>
      </c>
      <c r="I26" s="16"/>
      <c r="J26" s="13"/>
    </row>
    <row r="27" spans="1:13" x14ac:dyDescent="0.4">
      <c r="A27" s="36" t="s">
        <v>170</v>
      </c>
      <c r="B27" s="8" t="s">
        <v>159</v>
      </c>
      <c r="C27" s="21">
        <v>3</v>
      </c>
      <c r="D27" s="10">
        <f>CEILING(3/2*D11*C32/(D14+D16/D15), 1)</f>
        <v>3</v>
      </c>
      <c r="I27" s="16"/>
      <c r="J27" s="13"/>
    </row>
    <row r="28" spans="1:13" x14ac:dyDescent="0.4">
      <c r="A28" s="36" t="s">
        <v>171</v>
      </c>
      <c r="B28" s="8" t="s">
        <v>151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172</v>
      </c>
      <c r="B29" s="8" t="s">
        <v>153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173</v>
      </c>
      <c r="B31" s="8" t="s">
        <v>137</v>
      </c>
      <c r="C31" s="23" t="s">
        <v>183</v>
      </c>
      <c r="D31" s="19" t="s">
        <v>132</v>
      </c>
      <c r="E31" s="18" t="s">
        <v>133</v>
      </c>
      <c r="F31" s="18" t="s">
        <v>134</v>
      </c>
      <c r="K31" s="19"/>
      <c r="L31" s="19"/>
      <c r="M31" s="19"/>
    </row>
    <row r="32" spans="1:13" s="18" customFormat="1" x14ac:dyDescent="0.4">
      <c r="A32" s="36" t="s">
        <v>174</v>
      </c>
      <c r="B32" s="8" t="s">
        <v>131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135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185</v>
      </c>
      <c r="B35" s="8" t="s">
        <v>184</v>
      </c>
      <c r="C35" s="20" t="s">
        <v>188</v>
      </c>
      <c r="D35" s="19" t="s">
        <v>186</v>
      </c>
      <c r="E35" s="18" t="s">
        <v>187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1"/>
  <sheetViews>
    <sheetView tabSelected="1" workbookViewId="0">
      <selection activeCell="I12" sqref="I12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194</v>
      </c>
      <c r="E1" s="3" t="s">
        <v>3</v>
      </c>
      <c r="G1" s="3"/>
      <c r="H1" s="3"/>
      <c r="I1" s="3"/>
      <c r="K1" s="3"/>
      <c r="L1" s="3"/>
      <c r="M1" s="3"/>
    </row>
    <row r="2" spans="1:13" x14ac:dyDescent="0.4">
      <c r="A2" s="2">
        <v>16935</v>
      </c>
      <c r="B2" s="1" t="s">
        <v>6</v>
      </c>
      <c r="C2" s="1" t="s">
        <v>23</v>
      </c>
      <c r="D2" s="42" t="s">
        <v>195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2" t="s">
        <v>196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2" t="s">
        <v>197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2" t="s">
        <v>198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2" t="s">
        <v>199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2" t="s">
        <v>200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2" t="s">
        <v>201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2" t="s">
        <v>202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2" t="s">
        <v>203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2" t="s">
        <v>204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2" t="s">
        <v>205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2" t="s">
        <v>207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2" t="s">
        <v>208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2" t="s">
        <v>209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2" t="s">
        <v>210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2" t="s">
        <v>211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2" t="s">
        <v>212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2" t="s">
        <v>213</v>
      </c>
      <c r="E19" s="1" t="s">
        <v>59</v>
      </c>
    </row>
    <row r="20" spans="1:10" customFormat="1" x14ac:dyDescent="0.4">
      <c r="A20" s="2">
        <v>38561</v>
      </c>
      <c r="B20" s="2" t="s">
        <v>120</v>
      </c>
      <c r="C20" s="2" t="s">
        <v>121</v>
      </c>
      <c r="D20" s="42" t="s">
        <v>214</v>
      </c>
      <c r="E20" s="2" t="s">
        <v>122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2" t="s">
        <v>215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79</v>
      </c>
      <c r="D22" s="42" t="s">
        <v>216</v>
      </c>
      <c r="E22" s="2" t="s">
        <v>98</v>
      </c>
      <c r="F22"/>
      <c r="G22"/>
    </row>
    <row r="23" spans="1:10" x14ac:dyDescent="0.4">
      <c r="A23" s="2">
        <v>26167</v>
      </c>
      <c r="B23" s="2" t="s">
        <v>62</v>
      </c>
      <c r="C23" s="2" t="s">
        <v>80</v>
      </c>
      <c r="D23" s="42" t="s">
        <v>217</v>
      </c>
      <c r="E23" s="2" t="s">
        <v>99</v>
      </c>
      <c r="F23"/>
      <c r="G23"/>
    </row>
    <row r="24" spans="1:10" x14ac:dyDescent="0.4">
      <c r="A24" s="2">
        <v>3539</v>
      </c>
      <c r="B24" s="2" t="s">
        <v>63</v>
      </c>
      <c r="C24" s="2" t="s">
        <v>81</v>
      </c>
      <c r="D24" s="42" t="s">
        <v>218</v>
      </c>
      <c r="E24" s="2" t="s">
        <v>100</v>
      </c>
      <c r="F24"/>
      <c r="G24"/>
    </row>
    <row r="25" spans="1:10" x14ac:dyDescent="0.4">
      <c r="A25" s="2">
        <v>42650</v>
      </c>
      <c r="B25" s="2" t="s">
        <v>64</v>
      </c>
      <c r="C25" s="2" t="s">
        <v>82</v>
      </c>
      <c r="D25" s="42" t="s">
        <v>219</v>
      </c>
      <c r="E25" s="2" t="s">
        <v>101</v>
      </c>
      <c r="F25"/>
      <c r="G25"/>
    </row>
    <row r="26" spans="1:10" x14ac:dyDescent="0.4">
      <c r="A26" s="2">
        <v>1313</v>
      </c>
      <c r="B26" s="2" t="s">
        <v>117</v>
      </c>
      <c r="C26" s="2" t="s">
        <v>118</v>
      </c>
      <c r="D26" s="42" t="s">
        <v>220</v>
      </c>
      <c r="E26" s="2" t="s">
        <v>100</v>
      </c>
      <c r="F26"/>
      <c r="G26"/>
    </row>
    <row r="27" spans="1:10" x14ac:dyDescent="0.4">
      <c r="A27" s="2">
        <v>25167</v>
      </c>
      <c r="B27" s="2" t="s">
        <v>65</v>
      </c>
      <c r="C27" s="2" t="s">
        <v>83</v>
      </c>
      <c r="D27" s="42" t="s">
        <v>221</v>
      </c>
      <c r="E27" s="2" t="s">
        <v>102</v>
      </c>
      <c r="F27"/>
      <c r="G27"/>
    </row>
    <row r="28" spans="1:10" x14ac:dyDescent="0.4">
      <c r="A28" s="2">
        <v>11795</v>
      </c>
      <c r="B28" s="2" t="s">
        <v>66</v>
      </c>
      <c r="C28" s="2" t="s">
        <v>84</v>
      </c>
      <c r="D28" s="42" t="s">
        <v>222</v>
      </c>
      <c r="E28" s="2" t="s">
        <v>103</v>
      </c>
      <c r="F28"/>
      <c r="G28"/>
    </row>
    <row r="29" spans="1:10" x14ac:dyDescent="0.4">
      <c r="A29" s="2">
        <v>45977</v>
      </c>
      <c r="B29" s="2" t="s">
        <v>67</v>
      </c>
      <c r="C29" s="2" t="s">
        <v>85</v>
      </c>
      <c r="D29" s="42" t="s">
        <v>223</v>
      </c>
      <c r="E29" s="2" t="s">
        <v>104</v>
      </c>
      <c r="F29"/>
      <c r="G29"/>
    </row>
    <row r="30" spans="1:10" x14ac:dyDescent="0.4">
      <c r="A30" s="2">
        <v>45822</v>
      </c>
      <c r="B30" s="2" t="s">
        <v>68</v>
      </c>
      <c r="C30" s="2" t="s">
        <v>86</v>
      </c>
      <c r="D30" s="42" t="s">
        <v>224</v>
      </c>
      <c r="E30" s="2" t="s">
        <v>105</v>
      </c>
      <c r="F30"/>
      <c r="G30"/>
    </row>
    <row r="31" spans="1:10" x14ac:dyDescent="0.4">
      <c r="A31" s="2">
        <v>24199</v>
      </c>
      <c r="B31" s="2" t="s">
        <v>69</v>
      </c>
      <c r="C31" s="2" t="s">
        <v>87</v>
      </c>
      <c r="D31" s="42" t="s">
        <v>225</v>
      </c>
      <c r="E31" s="2" t="s">
        <v>106</v>
      </c>
      <c r="F31"/>
      <c r="G31"/>
    </row>
    <row r="32" spans="1:10" x14ac:dyDescent="0.4">
      <c r="A32" s="2">
        <v>32148</v>
      </c>
      <c r="B32" s="2" t="s">
        <v>70</v>
      </c>
      <c r="C32" s="2" t="s">
        <v>88</v>
      </c>
      <c r="D32" s="42" t="s">
        <v>226</v>
      </c>
      <c r="E32" s="2" t="s">
        <v>107</v>
      </c>
      <c r="F32"/>
      <c r="G32"/>
    </row>
    <row r="33" spans="1:7" x14ac:dyDescent="0.4">
      <c r="A33" s="2">
        <v>18274</v>
      </c>
      <c r="B33" s="2" t="s">
        <v>71</v>
      </c>
      <c r="C33" s="2" t="s">
        <v>89</v>
      </c>
      <c r="D33" s="42" t="s">
        <v>227</v>
      </c>
      <c r="E33" s="2" t="s">
        <v>108</v>
      </c>
      <c r="F33"/>
      <c r="G33"/>
    </row>
    <row r="34" spans="1:7" x14ac:dyDescent="0.4">
      <c r="A34" s="2">
        <v>27828</v>
      </c>
      <c r="B34" s="2" t="s">
        <v>72</v>
      </c>
      <c r="C34" s="2" t="s">
        <v>90</v>
      </c>
      <c r="D34" s="42" t="s">
        <v>228</v>
      </c>
      <c r="E34" s="2" t="s">
        <v>109</v>
      </c>
      <c r="F34"/>
      <c r="G34"/>
    </row>
    <row r="35" spans="1:7" x14ac:dyDescent="0.4">
      <c r="A35" s="2">
        <v>8778</v>
      </c>
      <c r="B35" s="2" t="s">
        <v>73</v>
      </c>
      <c r="C35" s="2" t="s">
        <v>91</v>
      </c>
      <c r="D35" s="42" t="s">
        <v>229</v>
      </c>
      <c r="E35" s="2" t="s">
        <v>110</v>
      </c>
      <c r="F35"/>
      <c r="G35"/>
    </row>
    <row r="36" spans="1:7" x14ac:dyDescent="0.4">
      <c r="A36" s="2">
        <v>46561</v>
      </c>
      <c r="B36" s="2" t="s">
        <v>74</v>
      </c>
      <c r="C36" s="2" t="s">
        <v>92</v>
      </c>
      <c r="D36" s="42" t="s">
        <v>230</v>
      </c>
      <c r="E36" s="2" t="s">
        <v>111</v>
      </c>
      <c r="F36"/>
      <c r="G36"/>
    </row>
    <row r="37" spans="1:7" x14ac:dyDescent="0.4">
      <c r="A37" s="2">
        <v>24436</v>
      </c>
      <c r="B37" s="2" t="s">
        <v>75</v>
      </c>
      <c r="C37" s="2" t="s">
        <v>93</v>
      </c>
      <c r="D37" s="42" t="s">
        <v>231</v>
      </c>
      <c r="E37" s="2" t="s">
        <v>112</v>
      </c>
      <c r="F37"/>
      <c r="G37"/>
    </row>
    <row r="38" spans="1:7" x14ac:dyDescent="0.4">
      <c r="A38" s="2">
        <v>48988</v>
      </c>
      <c r="B38" s="2" t="s">
        <v>76</v>
      </c>
      <c r="C38" s="2" t="s">
        <v>94</v>
      </c>
      <c r="D38" s="42" t="s">
        <v>232</v>
      </c>
      <c r="E38" s="2" t="s">
        <v>113</v>
      </c>
      <c r="F38"/>
      <c r="G38"/>
    </row>
    <row r="39" spans="1:7" x14ac:dyDescent="0.4">
      <c r="A39" s="2">
        <v>41349</v>
      </c>
      <c r="B39" s="2" t="s">
        <v>77</v>
      </c>
      <c r="C39" s="2" t="s">
        <v>95</v>
      </c>
      <c r="D39" s="42" t="s">
        <v>233</v>
      </c>
      <c r="E39" s="2" t="s">
        <v>114</v>
      </c>
      <c r="F39"/>
      <c r="G39"/>
    </row>
    <row r="40" spans="1:7" x14ac:dyDescent="0.4">
      <c r="A40" s="2">
        <v>9392</v>
      </c>
      <c r="B40" s="2" t="s">
        <v>78</v>
      </c>
      <c r="C40" s="2" t="s">
        <v>96</v>
      </c>
      <c r="D40" s="42" t="s">
        <v>234</v>
      </c>
      <c r="E40" s="2" t="s">
        <v>115</v>
      </c>
      <c r="F40"/>
      <c r="G40"/>
    </row>
    <row r="41" spans="1:7" x14ac:dyDescent="0.4">
      <c r="A41" s="2">
        <v>48867</v>
      </c>
      <c r="B41" s="2" t="s">
        <v>119</v>
      </c>
      <c r="C41" s="2" t="s">
        <v>97</v>
      </c>
      <c r="D41" s="42" t="s">
        <v>206</v>
      </c>
      <c r="E41" s="2" t="s">
        <v>116</v>
      </c>
      <c r="F41"/>
      <c r="G41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</hyperlinks>
  <pageMargins left="0.7" right="0.7" top="0.75" bottom="0.75" header="0.3" footer="0.3"/>
  <pageSetup orientation="portrait" r:id="rId4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2019-02-23T13:27:34Z</dcterms:modified>
</cp:coreProperties>
</file>