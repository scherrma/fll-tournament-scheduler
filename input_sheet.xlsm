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A66C9B3E-EB12-4F12-8E79-879806E6AE85}" xr6:coauthVersionLast="40" xr6:coauthVersionMax="40" xr10:uidLastSave="{00000000-0000-0000-0000-000000000000}"/>
  <bookViews>
    <workbookView xWindow="-103" yWindow="-103" windowWidth="25920" windowHeight="16749" activeTab="1" xr2:uid="{8173C8DB-DDEB-429C-873D-D175153CED3B}"/>
  </bookViews>
  <sheets>
    <sheet name="Input Form" sheetId="26" r:id="rId1"/>
    <sheet name="Team Information" sheetId="1" r:id="rId2"/>
    <sheet name="scratch" sheetId="27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<sst xmlns="http://schemas.openxmlformats.org/spreadsheetml/2006/main" count="403" uniqueCount="236">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</sst>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36</xdr:row>
          <xdr:rowOff>87086</xdr:rowOff>
        </xdr:from>
        <xdr:to>
          <xdr:col>8</xdr:col>
          <xdr:colOff>277586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opLeftCell="B3" workbookViewId="0">
      <selection activeCell="I17" sqref="I17"/>
    </sheetView>
  </sheetViews>
  <sheetFormatPr defaultRowHeight="14.6" x14ac:dyDescent="0.4"/>
  <cols>
    <col min="1" max="1" width="22.07421875" style="36" hidden="1" customWidth="1"/>
    <col min="2" max="2" width="69.07421875" style="16" customWidth="1"/>
    <col min="3" max="3" width="15.4609375" style="13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36" t="s">
        <v>181</v>
      </c>
      <c r="B1" s="16" t="s">
        <v>180</v>
      </c>
      <c r="C1" s="13" t="s">
        <v>182</v>
      </c>
    </row>
    <row r="2" spans="1:13" s="4" customFormat="1" ht="18.45" x14ac:dyDescent="0.5">
      <c r="A2" s="35" t="s">
        <v>175</v>
      </c>
      <c r="B2" s="5" t="s">
        <v>125</v>
      </c>
      <c r="C2" s="42" t="s">
        <v>143</v>
      </c>
      <c r="D2" s="42"/>
      <c r="E2" s="42"/>
      <c r="F2" s="42"/>
      <c r="G2" s="42"/>
      <c r="H2" s="42"/>
      <c r="I2" s="42"/>
      <c r="J2" s="42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9" t="s">
        <v>138</v>
      </c>
      <c r="F3" s="39"/>
      <c r="G3" s="39"/>
      <c r="H3" s="39"/>
      <c r="I3" s="39"/>
      <c r="J3" s="11">
        <f>C19 - TIME(0, C14, 0)  + TIME(0, C29, 0) + TIME(0, SUM(E32:L32), 0)*_xlfn.CEILING.MATH(C3/(2*C27))</f>
        <v>0.60949074074074083</v>
      </c>
    </row>
    <row r="4" spans="1:13" x14ac:dyDescent="0.4">
      <c r="B4" s="8"/>
      <c r="C4" s="9"/>
    </row>
    <row r="5" spans="1:13" x14ac:dyDescent="0.4">
      <c r="B5" s="8"/>
      <c r="C5" s="9"/>
    </row>
    <row r="6" spans="1:13" x14ac:dyDescent="0.4">
      <c r="A6" s="36" t="s">
        <v>161</v>
      </c>
      <c r="B6" s="8" t="s">
        <v>126</v>
      </c>
      <c r="C6" s="21" t="s">
        <v>127</v>
      </c>
      <c r="D6" s="40" t="s">
        <v>160</v>
      </c>
      <c r="E6" s="41"/>
      <c r="F6" s="41"/>
      <c r="G6" s="41"/>
      <c r="H6" s="41"/>
      <c r="I6" s="41"/>
      <c r="J6" s="41"/>
      <c r="K6" s="41"/>
      <c r="L6" s="41"/>
      <c r="M6" s="34"/>
    </row>
    <row r="7" spans="1:13" x14ac:dyDescent="0.4">
      <c r="A7" s="36" t="s">
        <v>162</v>
      </c>
      <c r="B7" s="8" t="s">
        <v>147</v>
      </c>
      <c r="C7" s="21">
        <v>12.5</v>
      </c>
      <c r="D7" s="40"/>
      <c r="E7" s="41"/>
      <c r="F7" s="41"/>
      <c r="G7" s="41"/>
      <c r="H7" s="41"/>
      <c r="I7" s="41"/>
      <c r="J7" s="41"/>
      <c r="K7" s="41"/>
      <c r="L7" s="41"/>
      <c r="M7" s="34"/>
    </row>
    <row r="8" spans="1:13" x14ac:dyDescent="0.4">
      <c r="B8" s="12"/>
    </row>
    <row r="9" spans="1:13" x14ac:dyDescent="0.4">
      <c r="B9" s="12" t="s">
        <v>139</v>
      </c>
      <c r="D9" s="14" t="s">
        <v>128</v>
      </c>
    </row>
    <row r="10" spans="1:13" x14ac:dyDescent="0.4">
      <c r="A10" s="36" t="s">
        <v>179</v>
      </c>
      <c r="B10" s="8" t="s">
        <v>154</v>
      </c>
      <c r="C10" s="37">
        <v>0.375</v>
      </c>
      <c r="D10" s="28">
        <v>0.375</v>
      </c>
      <c r="E10" s="29"/>
    </row>
    <row r="11" spans="1:13" x14ac:dyDescent="0.4">
      <c r="A11" s="36" t="s">
        <v>163</v>
      </c>
      <c r="B11" s="8" t="s">
        <v>146</v>
      </c>
      <c r="C11" s="21">
        <v>4</v>
      </c>
      <c r="D11" s="27">
        <f>CEILING(C3/12, 1)</f>
        <v>4</v>
      </c>
      <c r="E11" s="26"/>
    </row>
    <row r="12" spans="1:13" x14ac:dyDescent="0.4">
      <c r="A12" s="36" t="s">
        <v>164</v>
      </c>
      <c r="B12" s="8" t="s">
        <v>144</v>
      </c>
      <c r="C12" s="21" t="s">
        <v>189</v>
      </c>
      <c r="D12" s="27" t="str">
        <f>IF(OR(MOD(C3, 2), C11 &gt; 2), "Yes", "No")</f>
        <v>Yes</v>
      </c>
      <c r="E12" s="26"/>
    </row>
    <row r="13" spans="1:13" x14ac:dyDescent="0.4">
      <c r="B13" s="8" t="s">
        <v>156</v>
      </c>
      <c r="C13" s="24">
        <f>IF(C12="Yes",1+_xlfn.CEILING.MATH((C3-1)/C11), _xlfn.CEILING.MATH(C3/C11))</f>
        <v>11</v>
      </c>
      <c r="D13" s="10" t="s">
        <v>157</v>
      </c>
      <c r="E13" s="26"/>
      <c r="F13" s="13"/>
    </row>
    <row r="14" spans="1:13" x14ac:dyDescent="0.4">
      <c r="A14" s="36" t="s">
        <v>165</v>
      </c>
      <c r="B14" s="8" t="s">
        <v>145</v>
      </c>
      <c r="C14" s="21">
        <v>17.5</v>
      </c>
      <c r="D14" s="10">
        <v>17.5</v>
      </c>
      <c r="E14" s="25"/>
    </row>
    <row r="15" spans="1:13" x14ac:dyDescent="0.4">
      <c r="A15" s="36" t="s">
        <v>166</v>
      </c>
      <c r="B15" s="8" t="s">
        <v>148</v>
      </c>
      <c r="C15" s="21">
        <v>3</v>
      </c>
      <c r="D15" s="10">
        <v>3</v>
      </c>
    </row>
    <row r="16" spans="1:13" x14ac:dyDescent="0.4">
      <c r="A16" s="36" t="s">
        <v>167</v>
      </c>
      <c r="B16" s="8" t="s">
        <v>149</v>
      </c>
      <c r="C16" s="21">
        <v>7.5</v>
      </c>
      <c r="D16" s="10">
        <f>MAX(C15*(20 - C14), 0)</f>
        <v>7.5</v>
      </c>
    </row>
    <row r="17" spans="1:13" x14ac:dyDescent="0.4">
      <c r="A17" s="36" t="s">
        <v>168</v>
      </c>
      <c r="B17" s="8" t="s">
        <v>150</v>
      </c>
      <c r="C17" s="37">
        <v>0.54166666666666663</v>
      </c>
      <c r="D17" s="15">
        <v>0.54166666666666663</v>
      </c>
    </row>
    <row r="18" spans="1:13" x14ac:dyDescent="0.4">
      <c r="A18" s="36" t="s">
        <v>169</v>
      </c>
      <c r="B18" s="8" t="s">
        <v>152</v>
      </c>
      <c r="C18" s="21">
        <v>30</v>
      </c>
      <c r="D18" s="10">
        <v>30</v>
      </c>
      <c r="K18" s="14"/>
      <c r="L18" s="14"/>
      <c r="M18" s="14"/>
    </row>
    <row r="19" spans="1:13" x14ac:dyDescent="0.4">
      <c r="B19" s="30" t="s">
        <v>155</v>
      </c>
      <c r="C19" s="32">
        <f>C10 + C13*((TIME(0, C14, 0) + TIME(0, C16, 0)/C15))</f>
        <v>0.52268518518518525</v>
      </c>
      <c r="D19" s="31"/>
      <c r="K19" s="14"/>
      <c r="L19" s="14"/>
      <c r="M19" s="14"/>
    </row>
    <row r="20" spans="1:13" x14ac:dyDescent="0.4">
      <c r="B20" s="30"/>
      <c r="C20" s="32"/>
      <c r="D20" s="31"/>
      <c r="K20" s="14"/>
      <c r="L20" s="14"/>
      <c r="M20" s="14"/>
    </row>
    <row r="21" spans="1:13" s="18" customFormat="1" x14ac:dyDescent="0.4">
      <c r="A21" s="36" t="s">
        <v>176</v>
      </c>
      <c r="B21" s="8" t="s">
        <v>123</v>
      </c>
      <c r="C21" s="20" t="s">
        <v>129</v>
      </c>
      <c r="D21" s="19" t="s">
        <v>130</v>
      </c>
      <c r="E21" s="18" t="s">
        <v>141</v>
      </c>
      <c r="F21" s="18" t="s">
        <v>158</v>
      </c>
      <c r="K21" s="19"/>
      <c r="L21" s="19"/>
      <c r="M21" s="19"/>
    </row>
    <row r="22" spans="1:13" s="18" customFormat="1" x14ac:dyDescent="0.4">
      <c r="A22" s="36" t="s">
        <v>177</v>
      </c>
      <c r="B22" s="8" t="s">
        <v>124</v>
      </c>
      <c r="C22" s="18">
        <v>101</v>
      </c>
      <c r="D22" s="19">
        <v>103</v>
      </c>
      <c r="E22" s="18">
        <v>104</v>
      </c>
      <c r="F22" s="18">
        <v>107</v>
      </c>
      <c r="K22" s="19"/>
      <c r="L22" s="19"/>
      <c r="M22" s="19"/>
    </row>
    <row r="23" spans="1:13" s="18" customFormat="1" x14ac:dyDescent="0.4">
      <c r="A23" s="36" t="s">
        <v>178</v>
      </c>
      <c r="B23" s="8" t="s">
        <v>136</v>
      </c>
      <c r="C23" s="18" t="s">
        <v>191</v>
      </c>
      <c r="D23" s="19" t="s">
        <v>190</v>
      </c>
      <c r="E23" s="18" t="s">
        <v>192</v>
      </c>
      <c r="F23" s="18" t="s">
        <v>193</v>
      </c>
      <c r="K23" s="19"/>
      <c r="L23" s="19"/>
      <c r="M23" s="19"/>
    </row>
    <row r="24" spans="1:13" s="13" customFormat="1" x14ac:dyDescent="0.4">
      <c r="A24" s="36"/>
      <c r="B24" s="8"/>
      <c r="D24" s="10"/>
      <c r="K24" s="10"/>
      <c r="L24" s="10"/>
      <c r="M24" s="10"/>
    </row>
    <row r="25" spans="1:13" s="13" customFormat="1" x14ac:dyDescent="0.4">
      <c r="A25" s="36"/>
      <c r="B25" s="8"/>
      <c r="D25" s="10"/>
      <c r="K25" s="10"/>
      <c r="L25" s="10"/>
      <c r="M25" s="10"/>
    </row>
    <row r="26" spans="1:13" x14ac:dyDescent="0.4">
      <c r="B26" s="12" t="s">
        <v>140</v>
      </c>
      <c r="I26" s="16"/>
      <c r="J26" s="13"/>
    </row>
    <row r="27" spans="1:13" x14ac:dyDescent="0.4">
      <c r="A27" s="36" t="s">
        <v>170</v>
      </c>
      <c r="B27" s="8" t="s">
        <v>159</v>
      </c>
      <c r="C27" s="21">
        <v>3</v>
      </c>
      <c r="D27" s="10">
        <f>CEILING(3/2*D11*C32/(D14+D16/D15), 1)</f>
        <v>3</v>
      </c>
      <c r="I27" s="16"/>
      <c r="J27" s="13"/>
    </row>
    <row r="28" spans="1:13" x14ac:dyDescent="0.4">
      <c r="A28" s="36" t="s">
        <v>171</v>
      </c>
      <c r="B28" s="8" t="s">
        <v>151</v>
      </c>
      <c r="C28" s="37">
        <v>0.54166666666666663</v>
      </c>
      <c r="D28" s="15">
        <v>0.54166666666666663</v>
      </c>
      <c r="I28" s="16"/>
      <c r="J28" s="13"/>
    </row>
    <row r="29" spans="1:13" x14ac:dyDescent="0.4">
      <c r="A29" s="36" t="s">
        <v>172</v>
      </c>
      <c r="B29" s="8" t="s">
        <v>153</v>
      </c>
      <c r="C29" s="22">
        <v>30</v>
      </c>
      <c r="D29" s="17">
        <v>30</v>
      </c>
    </row>
    <row r="30" spans="1:13" x14ac:dyDescent="0.4">
      <c r="B30" s="8"/>
      <c r="C30" s="33"/>
      <c r="D30" s="17"/>
    </row>
    <row r="31" spans="1:13" s="18" customFormat="1" ht="15.45" customHeight="1" x14ac:dyDescent="0.4">
      <c r="A31" s="36" t="s">
        <v>173</v>
      </c>
      <c r="B31" s="8" t="s">
        <v>137</v>
      </c>
      <c r="C31" s="23" t="s">
        <v>183</v>
      </c>
      <c r="D31" s="19" t="s">
        <v>132</v>
      </c>
      <c r="E31" s="18" t="s">
        <v>133</v>
      </c>
      <c r="F31" s="18" t="s">
        <v>134</v>
      </c>
      <c r="K31" s="19"/>
      <c r="L31" s="19"/>
      <c r="M31" s="19"/>
    </row>
    <row r="32" spans="1:13" s="18" customFormat="1" x14ac:dyDescent="0.4">
      <c r="A32" s="36" t="s">
        <v>174</v>
      </c>
      <c r="B32" s="8" t="s">
        <v>131</v>
      </c>
      <c r="C32" s="18">
        <v>10</v>
      </c>
      <c r="D32" s="18">
        <v>10</v>
      </c>
      <c r="E32" s="18">
        <v>8</v>
      </c>
      <c r="F32" s="18">
        <v>8</v>
      </c>
      <c r="K32" s="19"/>
      <c r="L32" s="19"/>
      <c r="M32" s="19"/>
    </row>
    <row r="33" spans="1:13" s="13" customFormat="1" x14ac:dyDescent="0.4">
      <c r="A33" s="36"/>
      <c r="B33" s="8" t="s">
        <v>135</v>
      </c>
      <c r="C33" s="13">
        <v>10</v>
      </c>
      <c r="D33" s="10">
        <f>C33</f>
        <v>10</v>
      </c>
      <c r="E33" s="13">
        <f>IF(ISBLANK(E31), "", 8)</f>
        <v>8</v>
      </c>
      <c r="F33" s="13">
        <f t="shared" ref="F33:K33" si="0">IF(ISBLANK(F31), "", 8)</f>
        <v>8</v>
      </c>
      <c r="G33" s="13" t="str">
        <f t="shared" si="0"/>
        <v/>
      </c>
      <c r="H33" s="13" t="str">
        <f t="shared" si="0"/>
        <v/>
      </c>
      <c r="I33" s="13" t="str">
        <f t="shared" si="0"/>
        <v/>
      </c>
      <c r="J33" s="13" t="str">
        <f t="shared" si="0"/>
        <v/>
      </c>
      <c r="K33" s="13" t="str">
        <f t="shared" si="0"/>
        <v/>
      </c>
      <c r="L33" s="10"/>
      <c r="M33" s="10"/>
    </row>
    <row r="35" spans="1:13" s="18" customFormat="1" x14ac:dyDescent="0.4">
      <c r="A35" s="36" t="s">
        <v>185</v>
      </c>
      <c r="B35" s="8" t="s">
        <v>184</v>
      </c>
      <c r="C35" s="20" t="s">
        <v>188</v>
      </c>
      <c r="D35" s="19" t="s">
        <v>186</v>
      </c>
      <c r="E35" s="18" t="s">
        <v>187</v>
      </c>
      <c r="K35" s="19"/>
      <c r="L35" s="19"/>
      <c r="M35" s="19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tabSelected="1" workbookViewId="0">
      <selection activeCell="H5" sqref="H5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H1" s="3"/>
      <c r="I1" s="3"/>
      <c r="J1" s="3"/>
      <c r="L1" s="3"/>
      <c r="M1" s="3"/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38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38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38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38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38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38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38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38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38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38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38" t="s">
        <v>205</v>
      </c>
      <c r="F12" s="1" t="s">
        <v>52</v>
      </c>
    </row>
    <row r="13" spans="1:14" x14ac:dyDescent="0.4">
      <c r="A13" s="2">
        <v>41793</v>
      </c>
      <c r="B13" s="2">
        <v>2</v>
      </c>
      <c r="C13" s="1" t="s">
        <v>16</v>
      </c>
      <c r="D13" s="1" t="s">
        <v>34</v>
      </c>
      <c r="E13" s="38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38" t="s">
        <v>208</v>
      </c>
      <c r="F14" s="1" t="s">
        <v>54</v>
      </c>
    </row>
    <row r="15" spans="1:14" x14ac:dyDescent="0.4">
      <c r="A15" s="2">
        <v>2932</v>
      </c>
      <c r="B15" s="2">
        <v>2</v>
      </c>
      <c r="C15" s="1" t="s">
        <v>17</v>
      </c>
      <c r="D15" s="1" t="s">
        <v>36</v>
      </c>
      <c r="E15" s="38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38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38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38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38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38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38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38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38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2</v>
      </c>
      <c r="C24" s="2" t="s">
        <v>63</v>
      </c>
      <c r="D24" s="2" t="s">
        <v>81</v>
      </c>
      <c r="E24" s="38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38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38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38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38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38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38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38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38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38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38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38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38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38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38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38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38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38" t="s">
        <v>206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FA61-C455-42A2-90AD-EFF7FE18DD3C}">
  <dimension ref="A1:N41"/>
  <sheetViews>
    <sheetView workbookViewId="0">
      <selection activeCell="B1" sqref="B1:B1048576"/>
    </sheetView>
  </sheetViews>
  <sheetFormatPr defaultRowHeight="14.6" x14ac:dyDescent="0.4"/>
  <cols>
    <col min="1" max="2" width="16.921875" style="2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H1" s="3"/>
      <c r="I1" s="3"/>
      <c r="J1" s="3"/>
      <c r="L1" s="3"/>
      <c r="M1" s="3"/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38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38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38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38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38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38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38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38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38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38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38" t="s">
        <v>205</v>
      </c>
      <c r="F12" s="1" t="s">
        <v>52</v>
      </c>
    </row>
    <row r="13" spans="1:14" x14ac:dyDescent="0.4">
      <c r="A13" s="2">
        <v>41793</v>
      </c>
      <c r="B13" s="2">
        <v>2</v>
      </c>
      <c r="C13" s="1" t="s">
        <v>16</v>
      </c>
      <c r="D13" s="1" t="s">
        <v>34</v>
      </c>
      <c r="E13" s="38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38" t="s">
        <v>208</v>
      </c>
      <c r="F14" s="1" t="s">
        <v>54</v>
      </c>
    </row>
    <row r="15" spans="1:14" x14ac:dyDescent="0.4">
      <c r="A15" s="2">
        <v>2932</v>
      </c>
      <c r="B15" s="2">
        <v>2</v>
      </c>
      <c r="C15" s="1" t="s">
        <v>17</v>
      </c>
      <c r="D15" s="1" t="s">
        <v>36</v>
      </c>
      <c r="E15" s="38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38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38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38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38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38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38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38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38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2</v>
      </c>
      <c r="C24" s="2" t="s">
        <v>63</v>
      </c>
      <c r="D24" s="2" t="s">
        <v>81</v>
      </c>
      <c r="E24" s="38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38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38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38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38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38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38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38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38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38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38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38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38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38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38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38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38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38" t="s">
        <v>206</v>
      </c>
      <c r="F41" s="2" t="s">
        <v>116</v>
      </c>
      <c r="G41"/>
      <c r="H41"/>
    </row>
  </sheetData>
  <hyperlinks>
    <hyperlink ref="E2" r:id="rId1" xr:uid="{CFB43011-531F-4058-956D-DAF77C9ACF71}"/>
    <hyperlink ref="E3" r:id="rId2" xr:uid="{11E86774-12D1-432D-A5C9-3201CBD7A15A}"/>
    <hyperlink ref="E4" r:id="rId3" xr:uid="{E78F7E2D-3C01-4FC0-A425-D011F54001AF}"/>
    <hyperlink ref="E5" r:id="rId4" xr:uid="{41005F60-8A6A-426B-AB8B-960EADF24984}"/>
    <hyperlink ref="E6" r:id="rId5" xr:uid="{7CF3E9DC-75EC-44A9-BB07-73E4161049C6}"/>
    <hyperlink ref="E7" r:id="rId6" xr:uid="{87805C4B-5296-4BA8-9395-5827C5E5ECBC}"/>
    <hyperlink ref="E8" r:id="rId7" xr:uid="{BB748ABC-16B5-49DD-99DE-C26F288A0E42}"/>
    <hyperlink ref="E9" r:id="rId8" xr:uid="{A87AE8C4-AFA8-4E97-BA74-D11EE5EBED85}"/>
    <hyperlink ref="E10" r:id="rId9" xr:uid="{CE7A7BB4-4BCE-435D-92F3-25122000A726}"/>
    <hyperlink ref="E11" r:id="rId10" xr:uid="{7D6300C6-070C-4CF0-AE4C-B329432B80AA}"/>
    <hyperlink ref="E12" r:id="rId11" xr:uid="{E5CF28BE-2583-4D04-BFEC-D7013A8D28E4}"/>
    <hyperlink ref="E13" r:id="rId12" xr:uid="{282B7D06-7677-44D0-BA67-A64F2B2991C0}"/>
    <hyperlink ref="E14" r:id="rId13" xr:uid="{A3A85CF3-32D6-4560-AF74-5AC2415260A5}"/>
    <hyperlink ref="E15" r:id="rId14" xr:uid="{BFAA9BB6-302A-47C4-AF9B-3888160D6263}"/>
    <hyperlink ref="E16" r:id="rId15" xr:uid="{244B5FB6-E491-4A7E-820C-3724E53267AC}"/>
    <hyperlink ref="E17" r:id="rId16" xr:uid="{84926DA0-4411-4D5A-AFA7-00416DAAD1FC}"/>
    <hyperlink ref="E18" r:id="rId17" xr:uid="{86175FA4-AFAF-4231-BA99-FCAB27E3F559}"/>
    <hyperlink ref="E19" r:id="rId18" xr:uid="{7177F629-06F7-4544-9E5A-F8A07027C567}"/>
    <hyperlink ref="E20" r:id="rId19" xr:uid="{B3371637-C042-4DE8-9ACF-DF3846981B47}"/>
    <hyperlink ref="E21" r:id="rId20" xr:uid="{8D5336A5-06C4-4358-AE5A-E709542F1896}"/>
    <hyperlink ref="E22" r:id="rId21" xr:uid="{739AC502-F9B6-492D-ABA8-B3D7AC5B0625}"/>
    <hyperlink ref="E23" r:id="rId22" xr:uid="{42EF92ED-ABD5-4907-8D86-BCEB1EC30DC8}"/>
    <hyperlink ref="E24" r:id="rId23" xr:uid="{25C4EF46-021A-4574-8C19-CDC989132943}"/>
    <hyperlink ref="E25" r:id="rId24" xr:uid="{87AF2C00-3A67-47E5-96FB-625690553D3E}"/>
    <hyperlink ref="E26" r:id="rId25" xr:uid="{E7BA9B9D-7FFF-4A6D-B478-3AAC75E3E68F}"/>
    <hyperlink ref="E27" r:id="rId26" xr:uid="{F5538E55-9CAB-4F9A-9A90-8F105BB6B156}"/>
    <hyperlink ref="E28" r:id="rId27" xr:uid="{15FFB44D-3294-47D3-9EC1-F436356B8E54}"/>
    <hyperlink ref="E29" r:id="rId28" xr:uid="{41CB8E28-DF9F-4BCB-9225-C3033515155B}"/>
    <hyperlink ref="E30" r:id="rId29" xr:uid="{76D8B9A6-6BE8-4BDD-8C4F-5D97852B7657}"/>
    <hyperlink ref="E31" r:id="rId30" xr:uid="{50D9B7AB-5BF5-464E-8147-89536BF91180}"/>
    <hyperlink ref="E32" r:id="rId31" xr:uid="{6C64D321-0DEC-4009-8A40-8D73B8D6684A}"/>
    <hyperlink ref="E33" r:id="rId32" xr:uid="{3612509B-4285-4EB1-A075-EB1E903E9FDB}"/>
    <hyperlink ref="E34" r:id="rId33" xr:uid="{743C51D9-7CC6-4197-9D8B-6241B67132B4}"/>
    <hyperlink ref="E35" r:id="rId34" xr:uid="{9652950F-918D-4F58-9ECD-65E32B4BD554}"/>
    <hyperlink ref="E36" r:id="rId35" xr:uid="{F8511786-5CC5-4408-A0C8-B42C81E6C4EF}"/>
    <hyperlink ref="E37" r:id="rId36" xr:uid="{BBDE7D6A-6177-48EA-BA02-252214D8B82A}"/>
    <hyperlink ref="E38" r:id="rId37" xr:uid="{CBCB3DD2-0EB9-43FA-92FF-F4D3E430A16E}"/>
    <hyperlink ref="E39" r:id="rId38" xr:uid="{0FB14DF5-9277-42AF-BEAA-027CD56EEB96}"/>
    <hyperlink ref="E40" r:id="rId39" xr:uid="{FD2781C3-6BFC-492C-821E-C7FB2E96810F}"/>
    <hyperlink ref="E41" r:id="rId40" xr:uid="{4C4FE5B8-E6A8-4589-BC11-B99B3EDD5E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Form</vt:lpstr>
      <vt:lpstr>Team Information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2019-02-25T21:41:18Z</dcterms:modified>
</cp:coreProperties>
</file>