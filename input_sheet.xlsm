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E9FECDDD-B5C0-49E5-9278-7D342E14CD52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26" l="1"/>
  <c r="D22" i="26"/>
  <c r="J3" i="26" l="1"/>
  <c r="C19" i="26"/>
  <c r="C25" i="26" s="1"/>
  <c r="D39" i="26"/>
  <c r="E39" i="26" s="1"/>
  <c r="F39" i="26" s="1"/>
  <c r="G39" i="26" s="1"/>
  <c r="H39" i="26" s="1"/>
  <c r="I39" i="26" s="1"/>
  <c r="J39" i="26" s="1"/>
  <c r="K39" i="26" s="1"/>
  <c r="L39" i="26" s="1"/>
  <c r="D16" i="26" l="1"/>
  <c r="C3" i="26" l="1"/>
  <c r="D17" i="26" l="1"/>
  <c r="D18" i="26"/>
</calcChain>
</file>

<file path=xl/sharedStrings.xml><?xml version="1.0" encoding="utf-8"?>
<sst xmlns="http://schemas.openxmlformats.org/spreadsheetml/2006/main" count="236" uniqueCount="232">
  <si>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</si>
  <si>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</si>
  <si>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</si>
  <si>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</si>
  <si>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</si>
  <si>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</si>
  <si>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</si>
  <si>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</si>
  <si>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</si>
  <si>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</si>
  <si>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</si>
  <si>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</si>
  <si>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</si>
  <si>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</si>
  <si>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</si>
  <si>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</si>
  <si>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</si>
  <si>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</si>
  <si>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</si>
  <si>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</si>
  <si>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</si>
  <si>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</si>
  <si>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</si>
  <si>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</si>
  <si>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</si>
  <si>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</si>
  <si>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</si>
  <si>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</si>
  <si>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</si>
  <si>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</si>
  <si>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</si>
  <si>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</si>
  <si>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</si>
  <si>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</si>
  <si>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</si>
  <si>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</si>
  <si>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</si>
  <si>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</si>
  <si>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</si>
  <si>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</si>
  <si>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</si>
  <si>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</si>
  <si>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</si>
  <si>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</si>
  <si>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</si>
  <si>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</si>
  <si>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</si>
  <si>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</si>
  <si>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</si>
  <si>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</si>
  <si>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</si>
  <si>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</si>
  <si>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</si>
  <si>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</si>
  <si>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</si>
  <si>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</si>
  <si>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</si>
  <si>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</si>
  <si>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</si>
  <si>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</si>
  <si>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</si>
  <si>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</si>
  <si>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</si>
  <si>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</si>
  <si>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</si>
  <si>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</si>
  <si>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</si>
  <si>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</si>
  <si>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</si>
  <si>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</si>
  <si>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</si>
  <si>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</si>
  <si>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</si>
  <si>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</si>
  <si>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</si>
  <si>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</si>
  <si>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</si>
  <si>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</si>
  <si>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</si>
  <si>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</si>
  <si>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</si>
  <si>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</si>
  <si>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</si>
  <si>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</si>
  <si>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</si>
  <si>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</si>
  <si>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</si>
  <si>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</si>
  <si>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</si>
  <si>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</si>
  <si>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</si>
  <si>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</si>
  <si>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</si>
  <si>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</si>
  <si>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</si>
  <si>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</si>
  <si>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</si>
  <si>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</si>
  <si>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</si>
  <si>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</si>
  <si>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</si>
  <si>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</si>
  <si>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</si>
  <si>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</si>
  <si>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</si>
  <si>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</si>
  <si>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</si>
  <si>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</si>
  <si>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</si>
  <si>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</si>
  <si>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</si>
  <si>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</si>
  <si>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</si>
  <si>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</si>
  <si>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</si>
  <si>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</si>
  <si>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</si>
  <si>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</si>
  <si>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</si>
  <si>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</si>
  <si>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</si>
  <si>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</si>
  <si>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</si>
  <si>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</si>
  <si>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</si>
  <si>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</si>
  <si>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</si>
  <si>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</si>
  <si>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</si>
  <si>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</si>
  <si>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</si>
  <si>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</si>
  <si>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</si>
  <si>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</si>
  <si>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</si>
  <si>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</si>
  <si>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</si>
  <si>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</si>
  <si>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</si>
  <si>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</si>
  <si>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</si>
  <si>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</si>
  <si>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</si>
  <si>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</si>
  <si>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</si>
  <si>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</si>
  <si>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</si>
  <si>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</si>
  <si>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</si>
  <si>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</si>
  <si>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</si>
  <si>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</si>
  <si>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</si>
  <si>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</si>
  <si>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</si>
  <si>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</si>
  <si>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</si>
  <si>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</si>
  <si>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</si>
  <si>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</si>
  <si>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</si>
  <si>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</si>
  <si>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</si>
  <si>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</si>
  <si>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</si>
  <si>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</si>
  <si>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</si>
  <si>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</si>
  <si>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</si>
  <si>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</si>
  <si>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</si>
  <si>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</si>
  <si>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</si>
  <si>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</si>
  <si>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</si>
  <si>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</si>
  <si>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</si>
  <si>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</si>
  <si>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</si>
  <si>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</si>
  <si>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</si>
  <si>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</si>
  <si>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</si>
  <si>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</si>
  <si>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</si>
  <si>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</si>
  <si>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</si>
  <si>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</si>
  <si>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</si>
  <si>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</si>
  <si>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</si>
  <si>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</si>
  <si>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</si>
  <si>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</si>
  <si>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</si>
  <si>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</si>
  <si>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</si>
  <si>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</si>
  <si>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</si>
  <si>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</si>
  <si>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</si>
  <si>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</si>
  <si>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</si>
  <si>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</si>
  <si>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</si>
  <si>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</si>
  <si>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</si>
  <si>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</si>
  <si>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</si>
  <si>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</si>
  <si>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</si>
  <si>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</si>
  <si>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</si>
  <si>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</si>
  <si>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</si>
  <si>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</si>
  <si>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</si>
  <si>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</si>
  <si>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</si>
  <si>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</si>
  <si>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</si>
  <si>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</si>
  <si>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</si>
  <si>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</si>
  <si>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</si>
  <si>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</si>
  <si>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</si>
  <si>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</si>
  <si>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</si>
  <si>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</si>
  <si>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The Edible Minks 1</t>
  </si>
  <si>
    <t>The Edible Minks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</si>
</sst>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157843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bratkor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topLeftCell="A18" workbookViewId="0">
      <selection activeCell="B45" sqref="B45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175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176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177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178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179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180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181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182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183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184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185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186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188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189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190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191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192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193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194</v>
      </c>
      <c r="E19" s="1" t="s">
        <v>59</v>
      </c>
    </row>
    <row r="20" spans="1:10" customFormat="1" x14ac:dyDescent="0.4">
      <c r="A20" s="2">
        <v>38561</v>
      </c>
      <c r="B20" s="2" t="s">
        <v>119</v>
      </c>
      <c r="C20" s="2" t="s">
        <v>120</v>
      </c>
      <c r="D20" s="29" t="s">
        <v>195</v>
      </c>
      <c r="E20" s="2" t="s">
        <v>121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196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197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198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199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200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201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202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203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204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205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206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207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208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209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210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211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212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213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214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215</v>
      </c>
      <c r="E40" s="2" t="s">
        <v>115</v>
      </c>
      <c r="F40"/>
      <c r="G40"/>
    </row>
    <row r="41" spans="1:7" x14ac:dyDescent="0.4">
      <c r="A41" s="2">
        <v>48867</v>
      </c>
      <c r="B41" s="2" t="s">
        <v>230</v>
      </c>
      <c r="C41" s="2" t="s">
        <v>97</v>
      </c>
      <c r="D41" s="29" t="s">
        <v>187</v>
      </c>
      <c r="E41" s="2" t="s">
        <v>116</v>
      </c>
      <c r="F41"/>
      <c r="G41"/>
    </row>
    <row r="42" spans="1:7" x14ac:dyDescent="0.4">
      <c r="A42" s="2">
        <v>48868</v>
      </c>
      <c r="B42" s="2" t="s">
        <v>231</v>
      </c>
      <c r="C42" s="2" t="s">
        <v>97</v>
      </c>
      <c r="D42" s="29" t="s">
        <v>187</v>
      </c>
      <c r="E42" s="2" t="s">
        <v>116</v>
      </c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249D6444-5496-4779-A907-BDCB51E1CD7B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12" sqref="C12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5" width="9.23046875" style="7" customWidth="1"/>
    <col min="6" max="6" width="12.3046875" style="7" customWidth="1"/>
    <col min="7" max="7" width="10.3828125" style="7" customWidth="1"/>
    <col min="8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171</v>
      </c>
      <c r="B1" s="8" t="s">
        <v>170</v>
      </c>
      <c r="C1" s="9" t="s">
        <v>172</v>
      </c>
    </row>
    <row r="2" spans="1:13" s="4" customFormat="1" ht="18.45" x14ac:dyDescent="0.5">
      <c r="A2" s="26" t="s">
        <v>165</v>
      </c>
      <c r="B2" s="5" t="s">
        <v>124</v>
      </c>
      <c r="C2" s="35" t="s">
        <v>134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133</v>
      </c>
      <c r="C3" s="9">
        <f>COUNTA('Team Information'!A:A) - COUNTA('Team Information'!A1)</f>
        <v>41</v>
      </c>
      <c r="E3" s="32" t="s">
        <v>130</v>
      </c>
      <c r="F3" s="32"/>
      <c r="G3" s="32"/>
      <c r="H3" s="32"/>
      <c r="I3" s="32"/>
      <c r="J3" s="11" t="str">
        <f>IF(OR(ISBLANK(C17), ISBLANK(C33), ISBLANK(C35)), "N/A", C25 - TIME(0, C20, 0)  + TIME(0, C35, 0) + TIME(0, SUM(E38:L38), 0)*_xlfn.CEILING.MATH(C3/(2*C33)))</f>
        <v>N/A</v>
      </c>
    </row>
    <row r="6" spans="1:13" x14ac:dyDescent="0.4">
      <c r="A6" s="27" t="s">
        <v>151</v>
      </c>
      <c r="B6" s="8" t="s">
        <v>125</v>
      </c>
      <c r="C6" s="18" t="s">
        <v>126</v>
      </c>
      <c r="D6" s="33" t="s">
        <v>150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152</v>
      </c>
      <c r="B7" s="8" t="s">
        <v>138</v>
      </c>
      <c r="C7" s="18"/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216</v>
      </c>
      <c r="B8" s="8" t="s">
        <v>224</v>
      </c>
      <c r="C8" s="28"/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217</v>
      </c>
      <c r="B9" s="8" t="s">
        <v>223</v>
      </c>
      <c r="C9" s="18"/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222</v>
      </c>
      <c r="B10" s="8" t="s">
        <v>225</v>
      </c>
      <c r="C10" s="18"/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218</v>
      </c>
      <c r="B11" s="8" t="s">
        <v>221</v>
      </c>
      <c r="C11" s="28"/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219</v>
      </c>
      <c r="B12" s="8" t="s">
        <v>220</v>
      </c>
      <c r="C12" s="18"/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226</v>
      </c>
      <c r="B13" s="8" t="s">
        <v>227</v>
      </c>
      <c r="C13" s="18"/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131</v>
      </c>
      <c r="D15" s="13" t="s">
        <v>127</v>
      </c>
    </row>
    <row r="16" spans="1:13" x14ac:dyDescent="0.4">
      <c r="A16" s="27" t="s">
        <v>169</v>
      </c>
      <c r="B16" s="8" t="s">
        <v>145</v>
      </c>
      <c r="C16" s="28"/>
      <c r="D16" s="23">
        <f>MAX(C8+TIME(0, C9, 0), C11 + TIME(0, C12, 0)) + TIME(0, C7, 0)</f>
        <v>0</v>
      </c>
      <c r="E16" s="24"/>
    </row>
    <row r="17" spans="1:13" x14ac:dyDescent="0.4">
      <c r="A17" s="27" t="s">
        <v>153</v>
      </c>
      <c r="B17" s="8" t="s">
        <v>137</v>
      </c>
      <c r="C17" s="18"/>
      <c r="D17" s="22">
        <f>CEILING(C3/12, 1)</f>
        <v>4</v>
      </c>
      <c r="E17" s="21"/>
    </row>
    <row r="18" spans="1:13" x14ac:dyDescent="0.4">
      <c r="A18" s="27" t="s">
        <v>154</v>
      </c>
      <c r="B18" s="8" t="s">
        <v>135</v>
      </c>
      <c r="C18" s="18"/>
      <c r="D18" s="22" t="str">
        <f>IF(OR(MOD(C3, 2), C17 &gt; 2), "Yes", "No")</f>
        <v>Yes</v>
      </c>
      <c r="E18" s="21"/>
    </row>
    <row r="19" spans="1:13" x14ac:dyDescent="0.4">
      <c r="B19" s="8" t="s">
        <v>147</v>
      </c>
      <c r="C19" s="19" t="str">
        <f>IF(ISBLANK(C17), "N/A", IF(C18="Yes",1+_xlfn.CEILING.MATH((C3-1)/C17), _xlfn.CEILING.MATH(C3/C17)))</f>
        <v>N/A</v>
      </c>
      <c r="D19" s="10" t="s">
        <v>148</v>
      </c>
      <c r="E19" s="21"/>
      <c r="F19" s="9"/>
    </row>
    <row r="20" spans="1:13" x14ac:dyDescent="0.4">
      <c r="A20" s="27" t="s">
        <v>155</v>
      </c>
      <c r="B20" s="8" t="s">
        <v>136</v>
      </c>
      <c r="C20" s="18"/>
      <c r="D20" s="10">
        <v>17.5</v>
      </c>
      <c r="E20" s="20"/>
    </row>
    <row r="21" spans="1:13" x14ac:dyDescent="0.4">
      <c r="A21" s="27" t="s">
        <v>156</v>
      </c>
      <c r="B21" s="8" t="s">
        <v>139</v>
      </c>
      <c r="C21" s="18"/>
      <c r="D21" s="10">
        <v>3</v>
      </c>
    </row>
    <row r="22" spans="1:13" x14ac:dyDescent="0.4">
      <c r="A22" s="27" t="s">
        <v>157</v>
      </c>
      <c r="B22" s="8" t="s">
        <v>140</v>
      </c>
      <c r="C22" s="18"/>
      <c r="D22" s="10" t="str">
        <f>IF(OR(ISBLANK(C21), ISBLANK(C20)), "", MAX(C21*(20 - C20), 0))</f>
        <v/>
      </c>
    </row>
    <row r="23" spans="1:13" x14ac:dyDescent="0.4">
      <c r="A23" s="27" t="s">
        <v>158</v>
      </c>
      <c r="B23" s="8" t="s">
        <v>141</v>
      </c>
      <c r="C23" s="28"/>
      <c r="D23" s="14">
        <v>0.54166666666666663</v>
      </c>
    </row>
    <row r="24" spans="1:13" x14ac:dyDescent="0.4">
      <c r="A24" s="27" t="s">
        <v>159</v>
      </c>
      <c r="B24" s="8" t="s">
        <v>143</v>
      </c>
      <c r="C24" s="18"/>
      <c r="D24" s="10">
        <v>40</v>
      </c>
      <c r="K24" s="13"/>
      <c r="L24" s="13"/>
      <c r="M24" s="13"/>
    </row>
    <row r="25" spans="1:13" x14ac:dyDescent="0.4">
      <c r="B25" s="8" t="s">
        <v>146</v>
      </c>
      <c r="C25" s="25" t="str">
        <f>IF(ISBLANK(C17), "N/A", C16 + C19*((TIME(0, C20, 0) + TIME(0, C22, 0)/C21)))</f>
        <v>N/A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166</v>
      </c>
      <c r="B27" s="8" t="s">
        <v>122</v>
      </c>
      <c r="C27" s="17"/>
      <c r="D27" s="16"/>
      <c r="K27" s="16"/>
      <c r="L27" s="16"/>
      <c r="M27" s="16"/>
    </row>
    <row r="28" spans="1:13" s="15" customFormat="1" x14ac:dyDescent="0.4">
      <c r="A28" s="27" t="s">
        <v>167</v>
      </c>
      <c r="B28" s="8" t="s">
        <v>123</v>
      </c>
      <c r="D28" s="16"/>
      <c r="K28" s="16"/>
      <c r="L28" s="16"/>
      <c r="M28" s="16"/>
    </row>
    <row r="29" spans="1:13" s="15" customFormat="1" x14ac:dyDescent="0.4">
      <c r="A29" s="27" t="s">
        <v>168</v>
      </c>
      <c r="B29" s="8" t="s">
        <v>128</v>
      </c>
      <c r="D29" s="16"/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132</v>
      </c>
      <c r="I32" s="8"/>
      <c r="J32" s="9"/>
    </row>
    <row r="33" spans="1:13" x14ac:dyDescent="0.4">
      <c r="A33" s="27" t="s">
        <v>160</v>
      </c>
      <c r="B33" s="8" t="s">
        <v>149</v>
      </c>
      <c r="C33" s="18"/>
      <c r="D33" s="10" t="str">
        <f>IF(OR(ISBLANK(C17), COUNTBLANK(C20:C22)&lt;&gt;0),"",CEILING(3/2*C17*C38/(C20+C22/C21),1))</f>
        <v/>
      </c>
      <c r="I33" s="8"/>
      <c r="J33" s="9"/>
    </row>
    <row r="34" spans="1:13" x14ac:dyDescent="0.4">
      <c r="A34" s="27" t="s">
        <v>161</v>
      </c>
      <c r="B34" s="8" t="s">
        <v>142</v>
      </c>
      <c r="C34" s="28"/>
      <c r="D34" s="14">
        <v>0.54166666666666663</v>
      </c>
      <c r="I34" s="8"/>
      <c r="J34" s="9"/>
    </row>
    <row r="35" spans="1:13" x14ac:dyDescent="0.4">
      <c r="A35" s="27" t="s">
        <v>162</v>
      </c>
      <c r="B35" s="8" t="s">
        <v>144</v>
      </c>
      <c r="C35" s="18"/>
      <c r="D35" s="10">
        <v>30</v>
      </c>
    </row>
    <row r="37" spans="1:13" s="15" customFormat="1" ht="15.45" customHeight="1" x14ac:dyDescent="0.4">
      <c r="A37" s="27" t="s">
        <v>163</v>
      </c>
      <c r="B37" s="8" t="s">
        <v>129</v>
      </c>
      <c r="D37" s="16"/>
      <c r="K37" s="16"/>
      <c r="L37" s="16"/>
      <c r="M37" s="16"/>
    </row>
    <row r="38" spans="1:13" s="15" customFormat="1" x14ac:dyDescent="0.4">
      <c r="A38" s="27" t="s">
        <v>164</v>
      </c>
      <c r="B38" s="8" t="s">
        <v>228</v>
      </c>
      <c r="K38" s="16"/>
      <c r="L38" s="16"/>
      <c r="M38" s="16"/>
    </row>
    <row r="39" spans="1:13" s="9" customFormat="1" x14ac:dyDescent="0.4">
      <c r="A39" s="27"/>
      <c r="B39" s="8" t="s">
        <v>229</v>
      </c>
      <c r="C39" s="9">
        <v>10</v>
      </c>
      <c r="D39" s="9" t="str">
        <f>IF(OR(ISBLANK(D37), ISBLANK(C39)), "", 10)</f>
        <v/>
      </c>
      <c r="E39" s="9" t="str">
        <f>IF(OR(ISBLANK(E37), ISBLANK(D39)), "", 8)</f>
        <v/>
      </c>
      <c r="F39" s="9" t="str">
        <f t="shared" ref="F39:L39" si="0">IF(OR(ISBLANK(F37), ISBLANK(E39)), "", 8)</f>
        <v/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9" t="str">
        <f t="shared" si="0"/>
        <v/>
      </c>
      <c r="M39" s="10"/>
    </row>
    <row r="41" spans="1:13" s="15" customFormat="1" x14ac:dyDescent="0.4">
      <c r="A41" s="27" t="s">
        <v>174</v>
      </c>
      <c r="B41" s="8" t="s">
        <v>173</v>
      </c>
      <c r="C41" s="17"/>
      <c r="D41" s="16"/>
      <c r="K41" s="16"/>
      <c r="L41" s="16"/>
      <c r="M41" s="16"/>
    </row>
  </sheetData>
  <sheetProtection sheet="1" selectLockedCells="1"/>
  <mergeCells count="3">
    <mergeCell ref="E3:I3"/>
    <mergeCell ref="D6:L7"/>
    <mergeCell ref="C2:J2"/>
  </mergeCells>
  <conditionalFormatting sqref="A27:XFD29">
    <cfRule type="expression" dxfId="7" priority="6">
      <formula>AND(COLUMN() - 2 &gt; $C$17, NOT(ISBLANK(A27)))</formula>
    </cfRule>
    <cfRule type="expression" dxfId="6" priority="8">
      <formula>AND(COLUMN() &gt; 2, COLUMN()  - 3 &lt; $C$17, NOT(ISBLANK(A27)))</formula>
    </cfRule>
    <cfRule type="expression" dxfId="5" priority="9">
      <formula>AND(COLUMN() &gt; 2, COLUMN() - 3 &lt; $C$17)</formula>
    </cfRule>
  </conditionalFormatting>
  <conditionalFormatting sqref="A37:XFD37">
    <cfRule type="expression" dxfId="4" priority="5">
      <formula>AND(COLUMN() - 4 &lt; COUNTA(A$37:$C$37), COLUMN() &gt; 2)</formula>
    </cfRule>
  </conditionalFormatting>
  <conditionalFormatting sqref="A41:XFD41">
    <cfRule type="expression" dxfId="3" priority="2">
      <formula>AND(COLUMN() - 2 &gt; $C$33, NOT(ISBLANK(A41)))</formula>
    </cfRule>
    <cfRule type="expression" dxfId="2" priority="3">
      <formula>AND(COLUMN() &gt; 2, COLUMN()  - 3 &lt; $C$33, NOT(ISBLANK(A41)))</formula>
    </cfRule>
    <cfRule type="expression" dxfId="1" priority="4">
      <formula>AND(COLUMN() &gt; 2, COLUMN() - 3 &lt; $C$33)</formula>
    </cfRule>
  </conditionalFormatting>
  <conditionalFormatting sqref="A38:XFD38">
    <cfRule type="expression" dxfId="0" priority="1">
      <formula>AND(COLUMN() - 4 &lt; COUNTA(A$38:$C$38), COLUMN() &gt; 2, NOT(ISBLANK(A37)))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157843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2019-04-15T23:50:57Z</dcterms:modified>
</cp:coreProperties>
</file>