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61F42298-6422-4995-B60A-B4ABBD9E48FA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<sst xmlns="http://schemas.openxmlformats.org/spreadsheetml/2006/main" count="255" uniqueCount="251">
  <si>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</si>
  <si>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</si>
  <si>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</si>
  <si>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</si>
  <si>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</si>
  <si>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</si>
  <si>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</si>
  <si>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</si>
  <si>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</si>
  <si>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</si>
  <si>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</si>
  <si>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</si>
  <si>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</si>
  <si>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</si>
  <si>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</si>
  <si>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</si>
  <si>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</si>
  <si>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</si>
  <si>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</si>
  <si>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</si>
  <si>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</si>
  <si>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</si>
  <si>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</si>
  <si>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</si>
  <si>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</si>
  <si>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</si>
  <si>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</si>
  <si>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</si>
  <si>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</si>
  <si>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</si>
  <si>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</si>
  <si>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</si>
  <si>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</si>
  <si>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</si>
  <si>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</si>
  <si>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</si>
  <si>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</si>
  <si>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</si>
  <si>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</si>
  <si>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</si>
  <si>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</si>
  <si>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</si>
  <si>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</si>
  <si>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</si>
  <si>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</si>
  <si>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</si>
  <si>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</si>
  <si>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</si>
  <si>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</si>
  <si>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</si>
  <si>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</si>
  <si>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</si>
  <si>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</si>
  <si>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</si>
  <si>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</si>
  <si>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</si>
  <si>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</si>
  <si>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</si>
  <si>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</si>
  <si>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</si>
  <si>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</si>
  <si>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</si>
  <si>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</si>
  <si>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</si>
  <si>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</si>
  <si>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</si>
  <si>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</si>
  <si>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</si>
  <si>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</si>
  <si>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</si>
  <si>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</si>
  <si>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</si>
  <si>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</si>
  <si>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</si>
  <si>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</si>
  <si>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</si>
  <si>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</si>
  <si>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</si>
  <si>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</si>
  <si>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</si>
  <si>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</si>
  <si>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</si>
  <si>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</si>
  <si>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</si>
  <si>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</si>
  <si>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</si>
  <si>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</si>
  <si>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</si>
  <si>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</si>
  <si>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</si>
  <si>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</si>
  <si>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</si>
  <si>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</si>
  <si>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</si>
  <si>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</si>
  <si>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</si>
  <si>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</si>
  <si>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</si>
  <si>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</si>
  <si>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</si>
  <si>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</si>
  <si>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</si>
  <si>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</si>
  <si>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</si>
  <si>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</si>
  <si>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</si>
  <si>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</si>
  <si>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</si>
  <si>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</si>
  <si>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</si>
  <si>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</si>
  <si>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</si>
  <si>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</si>
  <si>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</si>
  <si>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</si>
  <si>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</si>
  <si>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</si>
  <si>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</si>
  <si>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</si>
  <si>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</si>
  <si>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</si>
  <si>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</si>
  <si>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</si>
  <si>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</si>
  <si>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</si>
  <si>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</si>
  <si>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</si>
  <si>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</si>
  <si>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</si>
  <si>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</si>
  <si>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</si>
  <si>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</si>
  <si>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</si>
  <si>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</si>
  <si>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</si>
  <si>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</si>
  <si>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</si>
  <si>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</si>
  <si>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</si>
  <si>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</si>
  <si>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</si>
  <si>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</si>
  <si>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</si>
  <si>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</si>
  <si>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</si>
  <si>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</si>
  <si>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</si>
  <si>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</si>
  <si>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</si>
  <si>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</si>
  <si>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</si>
  <si>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</si>
  <si>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</si>
  <si>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</si>
  <si>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</si>
  <si>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</si>
  <si>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</si>
  <si>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</si>
  <si>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</si>
  <si>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</si>
  <si>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</si>
  <si>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</si>
  <si>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</si>
  <si>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</si>
  <si>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</si>
  <si>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</si>
  <si>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</si>
  <si>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</si>
  <si>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</si>
  <si>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</si>
  <si>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</si>
  <si>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</si>
  <si>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</si>
  <si>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</si>
  <si>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</si>
  <si>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</si>
  <si>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</si>
  <si>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</si>
  <si>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</si>
  <si>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</si>
  <si>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</si>
  <si>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</si>
  <si>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</si>
  <si>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</si>
  <si>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</si>
  <si>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</si>
  <si>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</si>
  <si>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</si>
  <si>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</si>
  <si>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</si>
  <si>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</si>
  <si>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</si>
  <si>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</si>
  <si>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</si>
  <si>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</si>
  <si>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</si>
  <si>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</si>
  <si>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</si>
  <si>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</si>
  <si>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</si>
  <si>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</si>
  <si>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</si>
  <si>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</si>
  <si>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</si>
  <si>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</si>
  <si>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</si>
  <si>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</si>
  <si>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</si>
  <si>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</si>
  <si>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</si>
  <si>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</si>
  <si>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</si>
  <si>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</si>
  <si>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</si>
  <si>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</si>
  <si>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</si>
  <si>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</si>
  <si>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</si>
  <si>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</si>
  <si>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</si>
  <si>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</si>
  <si>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</si>
  <si>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</si>
  <si>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</si>
  <si>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</si>
  <si>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</si>
  <si>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</si>
  <si>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</si>
  <si>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</si>
  <si>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</si>
  <si>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</si>
  <si>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</si>
  <si>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</si>
  <si>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</si>
  <si>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</si>
  <si>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</si>
  <si>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</si>
  <si>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</si>
  <si>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</si>
  <si>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</si>
  <si>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</si>
  <si>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</si>
  <si>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</si>
  <si>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</si>
  <si>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</si>
  <si>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</si>
  <si>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</si>
  <si>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</si>
  <si>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Round 4</t>
  </si>
  <si>
    <t>The Edible Minks 1</t>
  </si>
  <si>
    <t>The Edible Minks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</si>
</sst>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bratkor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tabSelected="1" topLeftCell="A8" workbookViewId="0">
      <selection activeCell="B45" sqref="B45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 x14ac:dyDescent="0.4">
      <c r="A20" s="2">
        <v>38561</v>
      </c>
      <c r="B20" s="2" t="s">
        <v>119</v>
      </c>
      <c r="C20" s="2" t="s">
        <v>120</v>
      </c>
      <c r="D20" s="29" t="s">
        <v>211</v>
      </c>
      <c r="E20" s="2" t="s">
        <v>121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 x14ac:dyDescent="0.4">
      <c r="A41" s="2">
        <v>48867</v>
      </c>
      <c r="B41" s="2" t="s">
        <v>249</v>
      </c>
      <c r="C41" s="2" t="s">
        <v>97</v>
      </c>
      <c r="D41" s="29" t="s">
        <v>203</v>
      </c>
      <c r="E41" s="2" t="s">
        <v>116</v>
      </c>
      <c r="F41"/>
      <c r="G41"/>
    </row>
    <row r="42" spans="1:7" x14ac:dyDescent="0.4">
      <c r="A42" s="2">
        <v>48868</v>
      </c>
      <c r="B42" s="2" t="s">
        <v>250</v>
      </c>
      <c r="C42" s="2" t="s">
        <v>97</v>
      </c>
      <c r="D42" s="29" t="s">
        <v>203</v>
      </c>
      <c r="E42" s="2" t="s">
        <v>116</v>
      </c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249D6444-5496-4779-A907-BDCB51E1CD7B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12" workbookViewId="0">
      <selection activeCell="J32" sqref="J32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124</v>
      </c>
      <c r="C2" s="35" t="s">
        <v>140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139</v>
      </c>
      <c r="C3" s="9">
        <f>COUNTA('Team Information'!A:A) - COUNTA('Team Information'!A1)</f>
        <v>41</v>
      </c>
      <c r="E3" s="32" t="s">
        <v>135</v>
      </c>
      <c r="F3" s="32"/>
      <c r="G3" s="32"/>
      <c r="H3" s="32"/>
      <c r="I3" s="32"/>
      <c r="J3" s="11">
        <f>C25 - TIME(0, C20, 0)  + TIME(0, C35, 0) + TIME(0, SUM(E38:L38), 0)*_xlfn.CEILING.MATH(C3/(2*C33))</f>
        <v>0.64837962962962981</v>
      </c>
    </row>
    <row r="6" spans="1:13" x14ac:dyDescent="0.4">
      <c r="A6" s="27" t="s">
        <v>158</v>
      </c>
      <c r="B6" s="8" t="s">
        <v>125</v>
      </c>
      <c r="C6" s="18" t="s">
        <v>126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136</v>
      </c>
      <c r="D15" s="13" t="s">
        <v>127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122</v>
      </c>
      <c r="C27" s="17" t="s">
        <v>128</v>
      </c>
      <c r="D27" s="16" t="s">
        <v>129</v>
      </c>
      <c r="E27" s="15" t="s">
        <v>138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123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133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137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134</v>
      </c>
      <c r="C37" s="15" t="s">
        <v>180</v>
      </c>
      <c r="D37" s="16" t="s">
        <v>130</v>
      </c>
      <c r="E37" s="15" t="s">
        <v>131</v>
      </c>
      <c r="F37" s="15" t="s">
        <v>132</v>
      </c>
      <c r="G37" s="15" t="s">
        <v>248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G38" s="15">
        <v>8</v>
      </c>
      <c r="K38" s="16"/>
      <c r="L38" s="16"/>
      <c r="M38" s="16"/>
    </row>
    <row r="39" spans="1:13" s="9" customFormat="1" x14ac:dyDescent="0.4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>
        <f t="shared" si="0"/>
        <v>8</v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2019-04-10T20:02:13Z</dcterms:modified>
</cp:coreProperties>
</file>