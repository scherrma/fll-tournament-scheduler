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206EF497-1479-454C-9FB8-663C2C109B70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<sst xmlns="http://schemas.openxmlformats.org/spreadsheetml/2006/main" count="243" uniqueCount="239">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</sst>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14" sqref="C14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/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 t="str">
        <f>IF(OR(ISBLANK(C37),C26="N/A"),"N/A",C26+TIME(0,C16-C23,0)+TIME(0,E34,0)+(CEILING(C3/(2*C37),1)+IF(C39&gt;0,FLOOR(C3/(2*C39),1),0))*(TIME(0,SUM(F34:K34),0)))</f>
        <v>N/A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/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/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/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/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/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/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/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/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/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/>
      <c r="D19" s="20">
        <f>MAX(C8+TIME(0, C9, 0), C11 + TIME(0, C12, 0)) + TIME(0, C7, 0)</f>
        <v>0</v>
      </c>
      <c r="E19" s="21"/>
    </row>
    <row r="20" spans="1:13" x14ac:dyDescent="0.4">
      <c r="A20" s="9" t="s">
        <v>88</v>
      </c>
      <c r="B20" s="10" t="s">
        <v>77</v>
      </c>
      <c r="C20" s="5"/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/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 t="str">
        <f>IF(ISBLANK(C20), "N/A", IF(C21="Yes",1+_xlfn.CEILING.MATH((C3-1)/C20), _xlfn.CEILING.MATH(C3/C20)))</f>
        <v>N/A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/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/>
      <c r="D24" s="12">
        <v>3</v>
      </c>
    </row>
    <row r="25" spans="1:13" x14ac:dyDescent="0.4">
      <c r="A25" s="9" t="s">
        <v>92</v>
      </c>
      <c r="B25" s="10" t="s">
        <v>79</v>
      </c>
      <c r="C25" s="5"/>
      <c r="D25" s="12" t="str">
        <f>IF(OR(C24 = 0, ISBLANK(C24), ISBLANK(C23)), "", MAX(C24*(20 - C23), 0))</f>
        <v/>
      </c>
    </row>
    <row r="26" spans="1:13" x14ac:dyDescent="0.4">
      <c r="A26" s="38" t="e">
        <f>MAX(C19:D19) + C22*TIME(0, C23, 0) + IF(C24 &gt; 0, TIME(0, C25, 0)*FLOOR((C22 - IF(C21="Yes", 3, 2))/C24, 1), 0)</f>
        <v>#VALUE!</v>
      </c>
      <c r="B26" s="10" t="s">
        <v>81</v>
      </c>
      <c r="C26" s="15" t="str">
        <f>IF(COUNTBLANK(C15:C25) &gt; 2, "N/A", A26 + IF(A26&gt;C15, TIME(0, MAX(0, C16 - C25), 0), 0))</f>
        <v>N/A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D28" s="34"/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D29" s="34"/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D30" s="34"/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D33" s="34"/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 t="str">
        <f>IF(ISBLANK(C33), "", 10)</f>
        <v/>
      </c>
      <c r="D35" s="11" t="str">
        <f>IF(OR(ISBLANK(D33), ISBLANK(C35)), "", 10)</f>
        <v/>
      </c>
      <c r="E35" s="11" t="str">
        <f>IF(OR(ISBLANK(E33), ISBLANK(D35)), "", 8)</f>
        <v/>
      </c>
      <c r="F35" s="11" t="str">
        <f t="shared" ref="F35:L35" si="0">IF(OR(ISBLANK(F33), ISBLANK(E35)), "", 8)</f>
        <v/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/>
      <c r="D37" s="12" t="str">
        <f>IF(OR(ISBLANK(C20), COUNTBLANK(C23:C25) &gt; 0), "N/A", CEILING(3/2*C20*C34/(C23+C25/C24), 1))</f>
        <v>N/A</v>
      </c>
    </row>
    <row r="38" spans="1:13" x14ac:dyDescent="0.4">
      <c r="A38" s="9" t="s">
        <v>229</v>
      </c>
      <c r="B38" s="10" t="s">
        <v>231</v>
      </c>
      <c r="C38" s="31"/>
    </row>
    <row r="39" spans="1:13" x14ac:dyDescent="0.4">
      <c r="A39" s="9" t="s">
        <v>233</v>
      </c>
      <c r="B39" s="10" t="s">
        <v>238</v>
      </c>
      <c r="C39" s="30"/>
    </row>
    <row r="40" spans="1:13" s="34" customFormat="1" x14ac:dyDescent="0.4">
      <c r="A40" s="35" t="s">
        <v>105</v>
      </c>
      <c r="B40" s="32" t="s">
        <v>104</v>
      </c>
    </row>
    <row r="41" spans="1:13" s="34" customFormat="1" x14ac:dyDescent="0.4">
      <c r="A41" s="35" t="s">
        <v>140</v>
      </c>
      <c r="B41" s="32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2019-05-05T23:42:24Z</dcterms:modified>
</cp:coreProperties>
</file>