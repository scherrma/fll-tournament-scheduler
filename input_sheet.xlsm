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DE7B65E9-5C0B-4826-B2D0-D49F935D3C39}" xr6:coauthVersionLast="41" xr6:coauthVersionMax="41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26" l="1"/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s="1"/>
  <c r="C25" i="26" l="1"/>
  <c r="J3" i="26" s="1"/>
  <c r="D33" i="26"/>
  <c r="D18" i="26"/>
</calcChain>
</file>

<file path=xl/sharedStrings.xml><?xml version="1.0" encoding="utf-8"?>
<sst xmlns="http://schemas.openxmlformats.org/spreadsheetml/2006/main" count="251" uniqueCount="250">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</sst>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workbookViewId="0">
      <selection activeCell="C20" sqref="C20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192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193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194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195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196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197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198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199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200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201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202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203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205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206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207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208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209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210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211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212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213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214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215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216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217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218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219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220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221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222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223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224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225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226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227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228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229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230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231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232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204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12" workbookViewId="0">
      <selection activeCell="J15" sqref="J15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179</v>
      </c>
      <c r="B1" s="8" t="s">
        <v>178</v>
      </c>
      <c r="C1" s="9" t="s">
        <v>180</v>
      </c>
    </row>
    <row r="2" spans="1:13" s="4" customFormat="1" ht="18.45" x14ac:dyDescent="0.5">
      <c r="A2" s="26" t="s">
        <v>173</v>
      </c>
      <c r="B2" s="5" t="s">
        <v>125</v>
      </c>
      <c r="C2" s="35" t="s">
        <v>141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40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159</v>
      </c>
      <c r="B6" s="8" t="s">
        <v>126</v>
      </c>
      <c r="C6" s="18" t="s">
        <v>127</v>
      </c>
      <c r="D6" s="33" t="s">
        <v>158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160</v>
      </c>
      <c r="B7" s="8" t="s">
        <v>145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234</v>
      </c>
      <c r="B8" s="8" t="s">
        <v>242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235</v>
      </c>
      <c r="B9" s="8" t="s">
        <v>241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240</v>
      </c>
      <c r="B10" s="8" t="s">
        <v>243</v>
      </c>
      <c r="C10" s="18" t="s">
        <v>244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236</v>
      </c>
      <c r="B11" s="8" t="s">
        <v>239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237</v>
      </c>
      <c r="B12" s="8" t="s">
        <v>238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245</v>
      </c>
      <c r="B13" s="8" t="s">
        <v>246</v>
      </c>
      <c r="C13" s="18" t="s">
        <v>247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177</v>
      </c>
      <c r="B16" s="8" t="s">
        <v>152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161</v>
      </c>
      <c r="B17" s="8" t="s">
        <v>144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162</v>
      </c>
      <c r="B18" s="8" t="s">
        <v>142</v>
      </c>
      <c r="C18" s="18" t="s">
        <v>187</v>
      </c>
      <c r="D18" s="22" t="str">
        <f>IF(OR(MOD(C3, 2), C17 &gt; 2), "Yes", "No")</f>
        <v>Yes</v>
      </c>
      <c r="E18" s="21"/>
    </row>
    <row r="19" spans="1:13" x14ac:dyDescent="0.4">
      <c r="B19" s="8" t="s">
        <v>154</v>
      </c>
      <c r="C19" s="19">
        <f>IF(C18="Yes",1+_xlfn.CEILING.MATH((C3-1)/C17), _xlfn.CEILING.MATH(C3/C17))</f>
        <v>11</v>
      </c>
      <c r="D19" s="10" t="s">
        <v>155</v>
      </c>
      <c r="E19" s="21"/>
      <c r="F19" s="9"/>
    </row>
    <row r="20" spans="1:13" x14ac:dyDescent="0.4">
      <c r="A20" s="27" t="s">
        <v>163</v>
      </c>
      <c r="B20" s="8" t="s">
        <v>143</v>
      </c>
      <c r="C20" s="18">
        <v>17.5</v>
      </c>
      <c r="D20" s="10">
        <v>17.5</v>
      </c>
      <c r="E20" s="20"/>
    </row>
    <row r="21" spans="1:13" x14ac:dyDescent="0.4">
      <c r="A21" s="27" t="s">
        <v>164</v>
      </c>
      <c r="B21" s="8" t="s">
        <v>146</v>
      </c>
      <c r="C21" s="18">
        <v>3</v>
      </c>
      <c r="D21" s="10">
        <v>3</v>
      </c>
    </row>
    <row r="22" spans="1:13" x14ac:dyDescent="0.4">
      <c r="A22" s="27" t="s">
        <v>165</v>
      </c>
      <c r="B22" s="8" t="s">
        <v>147</v>
      </c>
      <c r="C22" s="18">
        <v>7.5</v>
      </c>
      <c r="D22" s="10">
        <f>MAX(C21*(20 - C20), 0)</f>
        <v>7.5</v>
      </c>
    </row>
    <row r="23" spans="1:13" x14ac:dyDescent="0.4">
      <c r="A23" s="27" t="s">
        <v>166</v>
      </c>
      <c r="B23" s="8" t="s">
        <v>148</v>
      </c>
      <c r="C23" s="28">
        <v>0.54166666666666663</v>
      </c>
      <c r="D23" s="14">
        <v>0.54166666666666663</v>
      </c>
    </row>
    <row r="24" spans="1:13" x14ac:dyDescent="0.4">
      <c r="A24" s="27" t="s">
        <v>167</v>
      </c>
      <c r="B24" s="8" t="s">
        <v>150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153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174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156</v>
      </c>
      <c r="K27" s="16"/>
      <c r="L27" s="16"/>
      <c r="M27" s="16"/>
    </row>
    <row r="28" spans="1:13" s="15" customFormat="1" x14ac:dyDescent="0.4">
      <c r="A28" s="27" t="s">
        <v>175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176</v>
      </c>
      <c r="B29" s="8" t="s">
        <v>134</v>
      </c>
      <c r="C29" s="15" t="s">
        <v>189</v>
      </c>
      <c r="D29" s="16" t="s">
        <v>188</v>
      </c>
      <c r="E29" s="15" t="s">
        <v>190</v>
      </c>
      <c r="F29" s="15" t="s">
        <v>191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168</v>
      </c>
      <c r="B33" s="8" t="s">
        <v>157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169</v>
      </c>
      <c r="B34" s="8" t="s">
        <v>149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170</v>
      </c>
      <c r="B35" s="8" t="s">
        <v>151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171</v>
      </c>
      <c r="B37" s="8" t="s">
        <v>135</v>
      </c>
      <c r="C37" s="15" t="s">
        <v>181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172</v>
      </c>
      <c r="B38" s="8" t="s">
        <v>248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249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183</v>
      </c>
      <c r="B41" s="8" t="s">
        <v>182</v>
      </c>
      <c r="C41" s="17" t="s">
        <v>186</v>
      </c>
      <c r="D41" s="16" t="s">
        <v>184</v>
      </c>
      <c r="E41" s="15" t="s">
        <v>185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2019-04-02T04:18:19Z</dcterms:modified>
</cp:coreProperties>
</file>