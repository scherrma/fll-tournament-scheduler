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scheduler\"/>
    </mc:Choice>
  </mc:AlternateContent>
  <xr:revisionPtr revIDLastSave="0" documentId="13_ncr:1_{E8E5354F-FC7F-4C79-8869-3A3223DEE538}" xr6:coauthVersionLast="44" xr6:coauthVersionMax="44" xr10:uidLastSave="{00000000-0000-0000-0000-000000000000}"/>
  <bookViews>
    <workbookView xWindow="39210" yWindow="-120" windowWidth="37710" windowHeight="2184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6" l="1"/>
  <c r="D25" i="26" l="1"/>
  <c r="C36" i="26" l="1"/>
  <c r="D38" i="26" l="1"/>
  <c r="D36" i="26" l="1"/>
  <c r="E36" i="26" s="1"/>
  <c r="F36" i="26" s="1"/>
  <c r="G36" i="26" s="1"/>
  <c r="H36" i="26" s="1"/>
  <c r="I36" i="26" s="1"/>
  <c r="J36" i="26" s="1"/>
  <c r="K36" i="26" s="1"/>
  <c r="D19" i="26" l="1"/>
  <c r="C3" i="26" l="1"/>
  <c r="A37" i="26" l="1"/>
  <c r="A43" i="26" s="1"/>
  <c r="C22" i="26"/>
  <c r="D21" i="26"/>
  <c r="D20" i="26"/>
  <c r="A26" i="26" l="1"/>
  <c r="C26" i="26" s="1"/>
</calcChain>
</file>

<file path=xl/sharedStrings.xml><?xml version="1.0" encoding="utf-8"?>
<sst xmlns="http://schemas.openxmlformats.org/spreadsheetml/2006/main" count="245" uniqueCount="241">
  <si>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</si>
  <si>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</si>
  <si>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</si>
  <si>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</si>
  <si>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</si>
  <si>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</si>
  <si>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</si>
  <si>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</si>
  <si>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</si>
  <si>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</si>
  <si>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</si>
  <si>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</si>
  <si>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</si>
  <si>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</si>
  <si>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</si>
  <si>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</si>
  <si>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</si>
  <si>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</si>
  <si>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</si>
  <si>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</si>
  <si>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</si>
  <si>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</si>
  <si>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</si>
  <si>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</si>
  <si>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</si>
  <si>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</si>
  <si>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</si>
  <si>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</si>
  <si>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</si>
  <si>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</si>
  <si>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</si>
  <si>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</si>
  <si>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</si>
  <si>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</si>
  <si>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</si>
  <si>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</si>
  <si>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</si>
  <si>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</si>
  <si>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</si>
  <si>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</si>
  <si>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</si>
  <si>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</si>
  <si>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</si>
  <si>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</si>
  <si>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</si>
  <si>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</si>
  <si>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</si>
  <si>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</si>
  <si>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</si>
  <si>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</si>
  <si>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</si>
  <si>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</si>
  <si>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</si>
  <si>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</si>
  <si>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</si>
  <si>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</si>
  <si>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</si>
  <si>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</si>
  <si>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</si>
  <si>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</si>
  <si>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</si>
  <si>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</si>
  <si>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</si>
  <si>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</si>
  <si>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</si>
  <si>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</si>
  <si>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</si>
  <si>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</si>
  <si>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</si>
  <si>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</si>
  <si>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</si>
  <si>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</si>
  <si>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</si>
  <si>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</si>
  <si>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</si>
  <si>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</si>
  <si>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</si>
  <si>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</si>
  <si>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</si>
  <si>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</si>
  <si>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</si>
  <si>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</si>
  <si>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</si>
  <si>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</si>
  <si>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</si>
  <si>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</si>
  <si>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</si>
  <si>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</si>
  <si>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</si>
  <si>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</si>
  <si>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</si>
  <si>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</si>
  <si>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</si>
  <si>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</si>
  <si>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</si>
  <si>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</si>
  <si>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</si>
  <si>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</si>
  <si>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</si>
  <si>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</si>
  <si>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</si>
  <si>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</si>
  <si>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</si>
  <si>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</si>
  <si>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</si>
  <si>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</si>
  <si>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</si>
  <si>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</si>
  <si>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</si>
  <si>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</si>
  <si>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</si>
  <si>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</si>
  <si>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</si>
  <si>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</si>
  <si>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</si>
  <si>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</si>
  <si>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</si>
  <si>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</si>
  <si>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</si>
  <si>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</si>
  <si>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</si>
  <si>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</si>
  <si>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</si>
  <si>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</si>
  <si>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</si>
  <si>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</si>
  <si>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</si>
  <si>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</si>
  <si>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</si>
  <si>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</si>
  <si>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</si>
  <si>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</si>
  <si>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</si>
  <si>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</si>
  <si>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</si>
  <si>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</si>
  <si>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</si>
  <si>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</si>
  <si>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</si>
  <si>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</si>
  <si>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</si>
  <si>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</si>
  <si>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</si>
  <si>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</si>
  <si>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</si>
  <si>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</si>
  <si>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</si>
  <si>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</si>
  <si>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</si>
  <si>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</si>
  <si>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</si>
  <si>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</si>
  <si>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</si>
  <si>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</si>
  <si>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</si>
  <si>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</si>
  <si>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</si>
  <si>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</si>
  <si>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Table Round Abbrevation (eg, 'Practice Round' -&gt; 'P'; optional)</t>
  </si>
  <si>
    <t>t_round_abbreviations</t>
  </si>
  <si>
    <t>Division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</si>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</sst>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164" fontId="0" fillId="3" borderId="0" xfId="0" applyNumberFormat="1" applyFill="1" applyAlignment="1" applyProtection="1">
      <alignment horizontal="right" vertical="center" indent="1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7</xdr:row>
          <xdr:rowOff>142875</xdr:rowOff>
        </xdr:from>
        <xdr:to>
          <xdr:col>9</xdr:col>
          <xdr:colOff>1057275</xdr:colOff>
          <xdr:row>11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N44"/>
  <sheetViews>
    <sheetView workbookViewId="0">
      <selection activeCell="F12" sqref="F12"/>
    </sheetView>
  </sheetViews>
  <sheetFormatPr defaultColWidth="9.28515625" defaultRowHeight="15" x14ac:dyDescent="0.25"/>
  <cols>
    <col min="1" max="1" width="13.7109375" style="1" bestFit="1" customWidth="1"/>
    <col min="2" max="2" width="8.140625" style="1" bestFit="1" customWidth="1"/>
    <col min="3" max="3" width="31.5703125" style="1" bestFit="1" customWidth="1"/>
    <col min="4" max="4" width="18" style="1" bestFit="1" customWidth="1"/>
    <col min="5" max="5" width="31.5703125" style="1" bestFit="1" customWidth="1"/>
    <col min="6" max="6" width="14.5703125" style="1" bestFit="1" customWidth="1"/>
    <col min="7" max="7" width="9.28515625" style="1"/>
    <col min="8" max="8" width="19.5703125" style="1" bestFit="1" customWidth="1"/>
    <col min="9" max="9" width="10.85546875" style="1" customWidth="1"/>
    <col min="10" max="10" width="11" style="1" customWidth="1"/>
    <col min="11" max="11" width="9.28515625" style="1" customWidth="1"/>
    <col min="12" max="12" width="21.85546875" style="1" customWidth="1"/>
    <col min="13" max="13" width="26.42578125" style="1" customWidth="1"/>
    <col min="14" max="14" width="28.7109375" style="1" customWidth="1"/>
    <col min="15" max="16384" width="9.28515625" style="1"/>
  </cols>
  <sheetData>
    <row r="1" spans="1:14" x14ac:dyDescent="0.25">
      <c r="A1" s="40" t="s">
        <v>0</v>
      </c>
      <c r="B1" s="40" t="s">
        <v>160</v>
      </c>
      <c r="C1" s="40" t="s">
        <v>1</v>
      </c>
      <c r="D1" s="40" t="s">
        <v>2</v>
      </c>
      <c r="E1" s="40" t="s">
        <v>106</v>
      </c>
      <c r="F1" s="40" t="s">
        <v>3</v>
      </c>
      <c r="G1" s="37"/>
      <c r="H1" s="37"/>
      <c r="I1" s="37"/>
      <c r="J1" s="37"/>
      <c r="K1" s="37"/>
      <c r="L1" s="37"/>
      <c r="M1" s="40"/>
      <c r="N1" s="2"/>
    </row>
    <row r="2" spans="1:14" x14ac:dyDescent="0.25">
      <c r="A2" s="39">
        <v>16935</v>
      </c>
      <c r="B2" s="39">
        <v>2</v>
      </c>
      <c r="C2" s="38" t="s">
        <v>6</v>
      </c>
      <c r="D2" s="38" t="s">
        <v>23</v>
      </c>
      <c r="E2" s="41" t="s">
        <v>107</v>
      </c>
      <c r="F2" s="38" t="s">
        <v>42</v>
      </c>
      <c r="G2" s="37"/>
      <c r="H2" s="37"/>
      <c r="I2" s="37"/>
      <c r="J2" s="37"/>
      <c r="K2" s="37"/>
      <c r="L2" s="37"/>
      <c r="M2" s="37"/>
    </row>
    <row r="3" spans="1:14" x14ac:dyDescent="0.25">
      <c r="A3" s="39">
        <v>2463</v>
      </c>
      <c r="B3" s="39">
        <v>2</v>
      </c>
      <c r="C3" s="38" t="s">
        <v>7</v>
      </c>
      <c r="D3" s="38" t="s">
        <v>24</v>
      </c>
      <c r="E3" s="41" t="s">
        <v>108</v>
      </c>
      <c r="F3" s="38" t="s">
        <v>43</v>
      </c>
      <c r="G3" s="37"/>
      <c r="H3" s="37"/>
      <c r="I3" s="37"/>
      <c r="J3" s="37"/>
      <c r="K3" s="37"/>
      <c r="L3" s="37"/>
      <c r="M3" s="37"/>
    </row>
    <row r="4" spans="1:14" x14ac:dyDescent="0.25">
      <c r="A4" s="39">
        <v>33754</v>
      </c>
      <c r="B4" s="39">
        <v>1</v>
      </c>
      <c r="C4" s="38" t="s">
        <v>9</v>
      </c>
      <c r="D4" s="38" t="s">
        <v>25</v>
      </c>
      <c r="E4" s="41" t="s">
        <v>109</v>
      </c>
      <c r="F4" s="38" t="s">
        <v>44</v>
      </c>
      <c r="G4" s="37"/>
      <c r="H4" s="37"/>
      <c r="I4" s="37"/>
      <c r="J4" s="37"/>
      <c r="K4" s="37"/>
      <c r="L4" s="37"/>
      <c r="M4" s="37"/>
    </row>
    <row r="5" spans="1:14" x14ac:dyDescent="0.25">
      <c r="A5" s="39">
        <v>20996</v>
      </c>
      <c r="B5" s="39">
        <v>1</v>
      </c>
      <c r="C5" s="38" t="s">
        <v>8</v>
      </c>
      <c r="D5" s="38" t="s">
        <v>26</v>
      </c>
      <c r="E5" s="41" t="s">
        <v>110</v>
      </c>
      <c r="F5" s="38" t="s">
        <v>45</v>
      </c>
      <c r="G5" s="37"/>
      <c r="H5" s="37"/>
      <c r="I5" s="37"/>
      <c r="J5" s="37"/>
      <c r="K5" s="37"/>
      <c r="L5" s="37"/>
      <c r="M5" s="37"/>
    </row>
    <row r="6" spans="1:14" x14ac:dyDescent="0.25">
      <c r="A6" s="39">
        <v>10666</v>
      </c>
      <c r="B6" s="39">
        <v>2</v>
      </c>
      <c r="C6" s="38" t="s">
        <v>10</v>
      </c>
      <c r="D6" s="38" t="s">
        <v>27</v>
      </c>
      <c r="E6" s="41" t="s">
        <v>111</v>
      </c>
      <c r="F6" s="38" t="s">
        <v>46</v>
      </c>
      <c r="G6" s="37"/>
      <c r="H6" s="37"/>
      <c r="I6" s="37"/>
      <c r="J6" s="37"/>
      <c r="K6" s="37"/>
      <c r="L6" s="37"/>
      <c r="M6" s="37"/>
    </row>
    <row r="7" spans="1:14" x14ac:dyDescent="0.25">
      <c r="A7" s="39">
        <v>28868</v>
      </c>
      <c r="B7" s="39">
        <v>1</v>
      </c>
      <c r="C7" s="38" t="s">
        <v>21</v>
      </c>
      <c r="D7" s="38" t="s">
        <v>28</v>
      </c>
      <c r="E7" s="41" t="s">
        <v>112</v>
      </c>
      <c r="F7" s="38" t="s">
        <v>47</v>
      </c>
      <c r="G7" s="37"/>
      <c r="H7" s="37"/>
      <c r="I7" s="37"/>
      <c r="J7" s="37"/>
      <c r="K7" s="37"/>
      <c r="L7" s="37"/>
      <c r="M7" s="37"/>
    </row>
    <row r="8" spans="1:14" x14ac:dyDescent="0.25">
      <c r="A8" s="39">
        <v>24652</v>
      </c>
      <c r="B8" s="39">
        <v>2</v>
      </c>
      <c r="C8" s="38" t="s">
        <v>11</v>
      </c>
      <c r="D8" s="38" t="s">
        <v>29</v>
      </c>
      <c r="E8" s="41" t="s">
        <v>113</v>
      </c>
      <c r="F8" s="38" t="s">
        <v>48</v>
      </c>
      <c r="G8" s="37"/>
      <c r="H8" s="37"/>
      <c r="I8" s="37"/>
      <c r="J8" s="37"/>
      <c r="K8" s="37"/>
      <c r="L8" s="37"/>
      <c r="M8" s="37"/>
    </row>
    <row r="9" spans="1:14" x14ac:dyDescent="0.25">
      <c r="A9" s="39">
        <v>31946</v>
      </c>
      <c r="B9" s="39">
        <v>2</v>
      </c>
      <c r="C9" s="38" t="s">
        <v>12</v>
      </c>
      <c r="D9" s="38" t="s">
        <v>30</v>
      </c>
      <c r="E9" s="41" t="s">
        <v>114</v>
      </c>
      <c r="F9" s="38" t="s">
        <v>49</v>
      </c>
      <c r="G9" s="37"/>
      <c r="H9" s="37"/>
      <c r="I9" s="37"/>
      <c r="J9" s="37"/>
      <c r="K9" s="37"/>
      <c r="L9" s="37"/>
      <c r="M9" s="37"/>
    </row>
    <row r="10" spans="1:14" x14ac:dyDescent="0.25">
      <c r="A10" s="39">
        <v>1542</v>
      </c>
      <c r="B10" s="39">
        <v>1</v>
      </c>
      <c r="C10" s="38" t="s">
        <v>13</v>
      </c>
      <c r="D10" s="38" t="s">
        <v>31</v>
      </c>
      <c r="E10" s="41" t="s">
        <v>115</v>
      </c>
      <c r="F10" s="38" t="s">
        <v>50</v>
      </c>
      <c r="G10" s="37"/>
      <c r="H10" s="37"/>
      <c r="I10" s="37"/>
      <c r="J10" s="37"/>
      <c r="K10" s="37"/>
      <c r="L10" s="37"/>
      <c r="M10" s="37"/>
    </row>
    <row r="11" spans="1:14" x14ac:dyDescent="0.25">
      <c r="A11" s="39">
        <v>49523</v>
      </c>
      <c r="B11" s="39">
        <v>1</v>
      </c>
      <c r="C11" s="38" t="s">
        <v>14</v>
      </c>
      <c r="D11" s="38" t="s">
        <v>32</v>
      </c>
      <c r="E11" s="41" t="s">
        <v>116</v>
      </c>
      <c r="F11" s="38" t="s">
        <v>51</v>
      </c>
      <c r="G11" s="37"/>
      <c r="H11" s="37"/>
      <c r="I11" s="37"/>
      <c r="J11" s="37"/>
      <c r="K11" s="37"/>
      <c r="L11" s="37"/>
      <c r="M11" s="37"/>
    </row>
    <row r="12" spans="1:14" x14ac:dyDescent="0.25">
      <c r="A12" s="39">
        <v>19885</v>
      </c>
      <c r="B12" s="39">
        <v>1</v>
      </c>
      <c r="C12" s="38" t="s">
        <v>15</v>
      </c>
      <c r="D12" s="38" t="s">
        <v>33</v>
      </c>
      <c r="E12" s="41" t="s">
        <v>117</v>
      </c>
      <c r="F12" s="38" t="s">
        <v>52</v>
      </c>
      <c r="G12" s="37"/>
      <c r="H12" s="37"/>
      <c r="I12" s="37"/>
      <c r="J12" s="37"/>
      <c r="K12" s="37"/>
      <c r="L12" s="37"/>
      <c r="M12" s="37"/>
    </row>
    <row r="13" spans="1:14" x14ac:dyDescent="0.25">
      <c r="A13" s="39">
        <v>41793</v>
      </c>
      <c r="B13" s="39">
        <v>1</v>
      </c>
      <c r="C13" s="38" t="s">
        <v>16</v>
      </c>
      <c r="D13" s="38" t="s">
        <v>34</v>
      </c>
      <c r="E13" s="41" t="s">
        <v>118</v>
      </c>
      <c r="F13" s="38" t="s">
        <v>53</v>
      </c>
      <c r="G13" s="37"/>
      <c r="H13" s="37"/>
      <c r="I13" s="37"/>
      <c r="J13" s="37"/>
      <c r="K13" s="37"/>
      <c r="L13" s="37"/>
      <c r="M13" s="37"/>
    </row>
    <row r="14" spans="1:14" x14ac:dyDescent="0.25">
      <c r="A14" s="39">
        <v>42066</v>
      </c>
      <c r="B14" s="39">
        <v>2</v>
      </c>
      <c r="C14" s="38" t="s">
        <v>4</v>
      </c>
      <c r="D14" s="38" t="s">
        <v>35</v>
      </c>
      <c r="E14" s="41" t="s">
        <v>119</v>
      </c>
      <c r="F14" s="38" t="s">
        <v>54</v>
      </c>
      <c r="G14" s="37"/>
      <c r="H14" s="37"/>
      <c r="I14" s="37"/>
      <c r="J14" s="37"/>
      <c r="K14" s="37"/>
      <c r="L14" s="37"/>
      <c r="M14" s="37"/>
    </row>
    <row r="15" spans="1:14" x14ac:dyDescent="0.25">
      <c r="A15" s="39">
        <v>2932</v>
      </c>
      <c r="B15" s="39">
        <v>1</v>
      </c>
      <c r="C15" s="38" t="s">
        <v>17</v>
      </c>
      <c r="D15" s="38" t="s">
        <v>36</v>
      </c>
      <c r="E15" s="41" t="s">
        <v>120</v>
      </c>
      <c r="F15" s="38" t="s">
        <v>55</v>
      </c>
      <c r="G15" s="37"/>
      <c r="H15" s="37"/>
      <c r="I15" s="37"/>
      <c r="J15" s="37"/>
      <c r="K15" s="37"/>
      <c r="L15" s="37"/>
      <c r="M15" s="37"/>
    </row>
    <row r="16" spans="1:14" x14ac:dyDescent="0.25">
      <c r="A16" s="39">
        <v>505</v>
      </c>
      <c r="B16" s="39">
        <v>1</v>
      </c>
      <c r="C16" s="38" t="s">
        <v>22</v>
      </c>
      <c r="D16" s="38" t="s">
        <v>37</v>
      </c>
      <c r="E16" s="41" t="s">
        <v>121</v>
      </c>
      <c r="F16" s="38" t="s">
        <v>56</v>
      </c>
      <c r="G16" s="37"/>
      <c r="H16" s="37"/>
      <c r="I16" s="37"/>
      <c r="J16" s="37"/>
      <c r="K16" s="37"/>
      <c r="L16" s="37"/>
      <c r="M16" s="37"/>
    </row>
    <row r="17" spans="1:11" x14ac:dyDescent="0.25">
      <c r="A17" s="39">
        <v>3036</v>
      </c>
      <c r="B17" s="39">
        <v>1</v>
      </c>
      <c r="C17" s="38" t="s">
        <v>20</v>
      </c>
      <c r="D17" s="38" t="s">
        <v>38</v>
      </c>
      <c r="E17" s="41" t="s">
        <v>122</v>
      </c>
      <c r="F17" s="38" t="s">
        <v>57</v>
      </c>
      <c r="G17" s="37"/>
      <c r="H17" s="37"/>
      <c r="I17" s="37"/>
      <c r="J17" s="37"/>
    </row>
    <row r="18" spans="1:11" x14ac:dyDescent="0.25">
      <c r="A18" s="39">
        <v>46007</v>
      </c>
      <c r="B18" s="39">
        <v>2</v>
      </c>
      <c r="C18" s="38" t="s">
        <v>5</v>
      </c>
      <c r="D18" s="38" t="s">
        <v>39</v>
      </c>
      <c r="E18" s="41" t="s">
        <v>123</v>
      </c>
      <c r="F18" s="38" t="s">
        <v>58</v>
      </c>
      <c r="G18" s="37"/>
      <c r="H18" s="37"/>
      <c r="I18" s="37"/>
      <c r="J18" s="37"/>
    </row>
    <row r="19" spans="1:11" x14ac:dyDescent="0.25">
      <c r="A19" s="39">
        <v>23932</v>
      </c>
      <c r="B19" s="39">
        <v>1</v>
      </c>
      <c r="C19" s="38" t="s">
        <v>19</v>
      </c>
      <c r="D19" s="38" t="s">
        <v>40</v>
      </c>
      <c r="E19" s="41" t="s">
        <v>124</v>
      </c>
      <c r="F19" s="38" t="s">
        <v>59</v>
      </c>
      <c r="G19" s="37"/>
      <c r="H19" s="37"/>
      <c r="I19" s="37"/>
      <c r="J19" s="37"/>
    </row>
    <row r="20" spans="1:11" customFormat="1" x14ac:dyDescent="0.25">
      <c r="A20" s="39">
        <v>38561</v>
      </c>
      <c r="B20" s="39">
        <v>1</v>
      </c>
      <c r="C20" s="39" t="s">
        <v>61</v>
      </c>
      <c r="D20" s="39" t="s">
        <v>62</v>
      </c>
      <c r="E20" s="41" t="s">
        <v>125</v>
      </c>
      <c r="F20" s="39" t="s">
        <v>63</v>
      </c>
      <c r="G20" s="39"/>
      <c r="H20" s="39"/>
      <c r="I20" s="39"/>
      <c r="J20" s="39"/>
      <c r="K20" s="1"/>
    </row>
    <row r="21" spans="1:11" x14ac:dyDescent="0.25">
      <c r="A21" s="39">
        <v>31303</v>
      </c>
      <c r="B21" s="39">
        <v>1</v>
      </c>
      <c r="C21" s="38" t="s">
        <v>18</v>
      </c>
      <c r="D21" s="38" t="s">
        <v>41</v>
      </c>
      <c r="E21" s="41" t="s">
        <v>126</v>
      </c>
      <c r="F21" s="38" t="s">
        <v>60</v>
      </c>
      <c r="G21" s="37"/>
      <c r="H21" s="37"/>
      <c r="I21" s="37"/>
      <c r="J21" s="37"/>
    </row>
    <row r="22" spans="1:11" x14ac:dyDescent="0.25">
      <c r="A22" s="39">
        <v>15289</v>
      </c>
      <c r="B22" s="39">
        <v>1</v>
      </c>
      <c r="C22" s="39" t="s">
        <v>161</v>
      </c>
      <c r="D22" s="39" t="s">
        <v>162</v>
      </c>
      <c r="E22" s="41" t="s">
        <v>163</v>
      </c>
      <c r="F22" s="39" t="s">
        <v>164</v>
      </c>
      <c r="G22" s="37"/>
      <c r="H22" s="37"/>
      <c r="I22" s="37"/>
      <c r="J22" s="37"/>
    </row>
    <row r="23" spans="1:11" x14ac:dyDescent="0.25">
      <c r="A23" s="39">
        <v>26167</v>
      </c>
      <c r="B23" s="39">
        <v>2</v>
      </c>
      <c r="C23" s="39" t="s">
        <v>165</v>
      </c>
      <c r="D23" s="39" t="s">
        <v>166</v>
      </c>
      <c r="E23" s="41" t="s">
        <v>167</v>
      </c>
      <c r="F23" s="39" t="s">
        <v>168</v>
      </c>
      <c r="G23" s="37"/>
      <c r="H23" s="37"/>
      <c r="I23" s="37"/>
      <c r="J23" s="37"/>
    </row>
    <row r="24" spans="1:11" x14ac:dyDescent="0.25">
      <c r="A24" s="39">
        <v>3539</v>
      </c>
      <c r="B24" s="39">
        <v>1</v>
      </c>
      <c r="C24" s="39" t="s">
        <v>169</v>
      </c>
      <c r="D24" s="39" t="s">
        <v>170</v>
      </c>
      <c r="E24" s="41" t="s">
        <v>171</v>
      </c>
      <c r="F24" s="39" t="s">
        <v>172</v>
      </c>
      <c r="G24" s="37"/>
      <c r="H24" s="37"/>
      <c r="I24" s="37"/>
      <c r="J24" s="37"/>
    </row>
    <row r="25" spans="1:11" x14ac:dyDescent="0.25">
      <c r="A25" s="39">
        <v>42650</v>
      </c>
      <c r="B25" s="39">
        <v>1</v>
      </c>
      <c r="C25" s="39" t="s">
        <v>173</v>
      </c>
      <c r="D25" s="39" t="s">
        <v>174</v>
      </c>
      <c r="E25" s="41" t="s">
        <v>175</v>
      </c>
      <c r="F25" s="39" t="s">
        <v>176</v>
      </c>
      <c r="G25" s="37"/>
      <c r="H25" s="37"/>
      <c r="I25" s="37"/>
      <c r="J25" s="37"/>
    </row>
    <row r="26" spans="1:11" x14ac:dyDescent="0.25">
      <c r="A26" s="39">
        <v>1313</v>
      </c>
      <c r="B26" s="39">
        <v>2</v>
      </c>
      <c r="C26" s="39" t="s">
        <v>177</v>
      </c>
      <c r="D26" s="39" t="s">
        <v>178</v>
      </c>
      <c r="E26" s="41" t="s">
        <v>179</v>
      </c>
      <c r="F26" s="39" t="s">
        <v>172</v>
      </c>
      <c r="G26" s="37"/>
      <c r="H26" s="37"/>
      <c r="I26" s="37"/>
      <c r="J26" s="37"/>
    </row>
    <row r="27" spans="1:11" x14ac:dyDescent="0.25">
      <c r="A27" s="39">
        <v>25167</v>
      </c>
      <c r="B27" s="39">
        <v>1</v>
      </c>
      <c r="C27" s="39" t="s">
        <v>180</v>
      </c>
      <c r="D27" s="39" t="s">
        <v>181</v>
      </c>
      <c r="E27" s="41" t="s">
        <v>182</v>
      </c>
      <c r="F27" s="39" t="s">
        <v>183</v>
      </c>
      <c r="G27" s="37"/>
      <c r="H27" s="37"/>
      <c r="I27" s="37"/>
      <c r="J27" s="37"/>
    </row>
    <row r="28" spans="1:11" x14ac:dyDescent="0.25">
      <c r="A28" s="39">
        <v>11795</v>
      </c>
      <c r="B28" s="39">
        <v>1</v>
      </c>
      <c r="C28" s="39" t="s">
        <v>184</v>
      </c>
      <c r="D28" s="39" t="s">
        <v>185</v>
      </c>
      <c r="E28" s="41" t="s">
        <v>186</v>
      </c>
      <c r="F28" s="39" t="s">
        <v>187</v>
      </c>
      <c r="G28" s="37"/>
      <c r="H28" s="37"/>
      <c r="I28" s="37"/>
      <c r="J28" s="37"/>
    </row>
    <row r="29" spans="1:11" x14ac:dyDescent="0.25">
      <c r="A29" s="39">
        <v>45977</v>
      </c>
      <c r="B29" s="39">
        <v>1</v>
      </c>
      <c r="C29" s="39" t="s">
        <v>188</v>
      </c>
      <c r="D29" s="39" t="s">
        <v>189</v>
      </c>
      <c r="E29" s="41" t="s">
        <v>190</v>
      </c>
      <c r="F29" s="39" t="s">
        <v>191</v>
      </c>
      <c r="G29" s="37"/>
      <c r="H29" s="37"/>
      <c r="I29" s="37"/>
      <c r="J29" s="37"/>
    </row>
    <row r="30" spans="1:11" x14ac:dyDescent="0.25">
      <c r="A30" s="39">
        <v>45822</v>
      </c>
      <c r="B30" s="39">
        <v>1</v>
      </c>
      <c r="C30" s="39" t="s">
        <v>192</v>
      </c>
      <c r="D30" s="39" t="s">
        <v>193</v>
      </c>
      <c r="E30" s="41" t="s">
        <v>194</v>
      </c>
      <c r="F30" s="39" t="s">
        <v>195</v>
      </c>
      <c r="G30" s="37"/>
      <c r="H30" s="37"/>
      <c r="I30" s="37"/>
      <c r="J30" s="37"/>
    </row>
    <row r="31" spans="1:11" x14ac:dyDescent="0.25">
      <c r="A31" s="39">
        <v>24199</v>
      </c>
      <c r="B31" s="39">
        <v>1</v>
      </c>
      <c r="C31" s="39" t="s">
        <v>196</v>
      </c>
      <c r="D31" s="39" t="s">
        <v>197</v>
      </c>
      <c r="E31" s="41" t="s">
        <v>198</v>
      </c>
      <c r="F31" s="39" t="s">
        <v>199</v>
      </c>
      <c r="G31" s="37"/>
      <c r="H31" s="37"/>
      <c r="I31" s="37"/>
      <c r="J31" s="37"/>
    </row>
    <row r="32" spans="1:11" x14ac:dyDescent="0.25">
      <c r="A32" s="39">
        <v>32148</v>
      </c>
      <c r="B32" s="39">
        <v>2</v>
      </c>
      <c r="C32" s="39" t="s">
        <v>200</v>
      </c>
      <c r="D32" s="39" t="s">
        <v>201</v>
      </c>
      <c r="E32" s="41" t="s">
        <v>202</v>
      </c>
      <c r="F32" s="39" t="s">
        <v>203</v>
      </c>
      <c r="G32" s="37"/>
      <c r="H32" s="37"/>
      <c r="I32" s="37"/>
      <c r="J32" s="37"/>
    </row>
    <row r="33" spans="1:8" x14ac:dyDescent="0.25">
      <c r="A33" s="39">
        <v>18274</v>
      </c>
      <c r="B33" s="39">
        <v>1</v>
      </c>
      <c r="C33" s="39" t="s">
        <v>204</v>
      </c>
      <c r="D33" s="39" t="s">
        <v>205</v>
      </c>
      <c r="E33" s="41" t="s">
        <v>206</v>
      </c>
      <c r="F33" s="39" t="s">
        <v>207</v>
      </c>
      <c r="G33" s="37"/>
      <c r="H33"/>
    </row>
    <row r="34" spans="1:8" x14ac:dyDescent="0.25">
      <c r="A34" s="39">
        <v>27828</v>
      </c>
      <c r="B34" s="39">
        <v>2</v>
      </c>
      <c r="C34" s="39" t="s">
        <v>208</v>
      </c>
      <c r="D34" s="39" t="s">
        <v>209</v>
      </c>
      <c r="E34" s="41" t="s">
        <v>210</v>
      </c>
      <c r="F34" s="39" t="s">
        <v>211</v>
      </c>
      <c r="G34" s="37"/>
      <c r="H34"/>
    </row>
    <row r="35" spans="1:8" x14ac:dyDescent="0.25">
      <c r="A35" s="39">
        <v>8778</v>
      </c>
      <c r="B35" s="39">
        <v>1</v>
      </c>
      <c r="C35" s="39" t="s">
        <v>212</v>
      </c>
      <c r="D35" s="39" t="s">
        <v>213</v>
      </c>
      <c r="E35" s="41" t="s">
        <v>214</v>
      </c>
      <c r="F35" s="39" t="s">
        <v>215</v>
      </c>
      <c r="G35" s="37"/>
      <c r="H35"/>
    </row>
    <row r="36" spans="1:8" x14ac:dyDescent="0.25">
      <c r="A36" s="39">
        <v>46561</v>
      </c>
      <c r="B36" s="39">
        <v>1</v>
      </c>
      <c r="C36" s="39" t="s">
        <v>216</v>
      </c>
      <c r="D36" s="39" t="s">
        <v>217</v>
      </c>
      <c r="E36" s="41" t="s">
        <v>218</v>
      </c>
      <c r="F36" s="39" t="s">
        <v>219</v>
      </c>
      <c r="G36" s="37"/>
      <c r="H36"/>
    </row>
    <row r="37" spans="1:8" x14ac:dyDescent="0.25">
      <c r="A37" s="39">
        <v>24436</v>
      </c>
      <c r="B37" s="39">
        <v>1</v>
      </c>
      <c r="C37" s="39" t="s">
        <v>220</v>
      </c>
      <c r="D37" s="39" t="s">
        <v>221</v>
      </c>
      <c r="E37" s="41" t="s">
        <v>222</v>
      </c>
      <c r="F37" s="39" t="s">
        <v>223</v>
      </c>
      <c r="G37" s="37"/>
      <c r="H37"/>
    </row>
    <row r="38" spans="1:8" x14ac:dyDescent="0.25">
      <c r="A38" s="39">
        <v>48988</v>
      </c>
      <c r="B38" s="39">
        <v>1</v>
      </c>
      <c r="C38" s="39" t="s">
        <v>224</v>
      </c>
      <c r="D38" s="39" t="s">
        <v>225</v>
      </c>
      <c r="E38" s="41" t="s">
        <v>226</v>
      </c>
      <c r="F38" s="39" t="s">
        <v>227</v>
      </c>
      <c r="G38" s="37"/>
      <c r="H38"/>
    </row>
    <row r="39" spans="1:8" x14ac:dyDescent="0.25">
      <c r="A39" s="39">
        <v>41349</v>
      </c>
      <c r="B39" s="39">
        <v>2</v>
      </c>
      <c r="C39" s="39" t="s">
        <v>228</v>
      </c>
      <c r="D39" s="39" t="s">
        <v>229</v>
      </c>
      <c r="E39" s="41" t="s">
        <v>230</v>
      </c>
      <c r="F39" s="39" t="s">
        <v>231</v>
      </c>
      <c r="G39" s="37"/>
      <c r="H39"/>
    </row>
    <row r="40" spans="1:8" x14ac:dyDescent="0.25">
      <c r="A40" s="39">
        <v>9392</v>
      </c>
      <c r="B40" s="39">
        <v>2</v>
      </c>
      <c r="C40" s="39" t="s">
        <v>232</v>
      </c>
      <c r="D40" s="39" t="s">
        <v>233</v>
      </c>
      <c r="E40" s="41" t="s">
        <v>234</v>
      </c>
      <c r="F40" s="39" t="s">
        <v>235</v>
      </c>
      <c r="G40" s="37"/>
      <c r="H40"/>
    </row>
    <row r="41" spans="1:8" x14ac:dyDescent="0.25">
      <c r="A41" s="39">
        <v>48867</v>
      </c>
      <c r="B41" s="39">
        <v>2</v>
      </c>
      <c r="C41" s="39" t="s">
        <v>236</v>
      </c>
      <c r="D41" s="39" t="s">
        <v>237</v>
      </c>
      <c r="E41" s="41" t="s">
        <v>238</v>
      </c>
      <c r="F41" s="39" t="s">
        <v>239</v>
      </c>
      <c r="G41" s="37"/>
      <c r="H41"/>
    </row>
    <row r="42" spans="1:8" x14ac:dyDescent="0.25">
      <c r="A42" s="39">
        <v>41348</v>
      </c>
      <c r="B42" s="39">
        <v>2</v>
      </c>
      <c r="C42" s="39" t="s">
        <v>240</v>
      </c>
      <c r="D42" s="39" t="s">
        <v>229</v>
      </c>
      <c r="E42" s="41" t="s">
        <v>230</v>
      </c>
      <c r="F42" s="39" t="s">
        <v>231</v>
      </c>
      <c r="G42" s="37"/>
    </row>
    <row r="43" spans="1:8" x14ac:dyDescent="0.25">
      <c r="E43" s="3"/>
    </row>
    <row r="44" spans="1:8" x14ac:dyDescent="0.25">
      <c r="E44" s="3"/>
    </row>
  </sheetData>
  <hyperlinks>
    <hyperlink ref="E2" r:id="rId1" xr:uid="{CCD0FADD-DBB0-4467-BA13-53A7CAAA798E}"/>
    <hyperlink ref="E3" r:id="rId2" xr:uid="{4A2EB02A-2729-46A4-8DA0-58279D1AF970}"/>
    <hyperlink ref="E4" r:id="rId3" xr:uid="{1F167FD0-E445-494D-B5C3-446242A63B49}"/>
    <hyperlink ref="E5" r:id="rId4" xr:uid="{F2725F9E-B76B-4D46-A37E-6296C9792B8B}"/>
    <hyperlink ref="E6" r:id="rId5" xr:uid="{11062BA3-A2DF-47A9-92BD-64D3698715BC}"/>
    <hyperlink ref="E7" r:id="rId6" xr:uid="{8C426062-F8E9-4E96-A325-2B2F795D93ED}"/>
    <hyperlink ref="E8" r:id="rId7" xr:uid="{44C4912E-BEE5-479B-B486-CF197D38C53B}"/>
    <hyperlink ref="E9" r:id="rId8" xr:uid="{137D76AF-1D70-4135-A9F3-D8A19B5A3016}"/>
    <hyperlink ref="E10" r:id="rId9" xr:uid="{FFAECEFB-16FE-42BA-AA85-6D7A70349739}"/>
    <hyperlink ref="E11" r:id="rId10" xr:uid="{D6A46F51-77E5-403A-939E-5C912CC879ED}"/>
    <hyperlink ref="E12" r:id="rId11" xr:uid="{98163BEA-88AF-40D5-9608-A8A2A6EE4495}"/>
    <hyperlink ref="E13" r:id="rId12" xr:uid="{8B5C096C-6D34-4FD3-844D-BDBBD1F8F973}"/>
    <hyperlink ref="E14" r:id="rId13" xr:uid="{F961B9EA-CCBE-441D-80FD-4417BF9B4BBC}"/>
    <hyperlink ref="E15" r:id="rId14" xr:uid="{BAD022FA-E827-4A9B-AB91-5ECBD39FB2A4}"/>
    <hyperlink ref="E16" r:id="rId15" xr:uid="{723ED327-4A29-4DB1-B977-7DB40F1C8791}"/>
    <hyperlink ref="E17" r:id="rId16" xr:uid="{E410DCAE-D58A-44F3-83A1-77C6CA4D116F}"/>
    <hyperlink ref="E18" r:id="rId17" xr:uid="{7B9C9A8C-A284-41DA-AE12-465863CF1867}"/>
    <hyperlink ref="E19" r:id="rId18" xr:uid="{D8762912-D1DF-4557-BBA0-0DBE5FED69EB}"/>
    <hyperlink ref="E20" r:id="rId19" xr:uid="{B2EE8BB5-66FE-4D87-97A6-AFA1272198DA}"/>
    <hyperlink ref="E21" r:id="rId20" xr:uid="{F4221FD4-3027-4824-BE9C-47194C84B6BB}"/>
    <hyperlink ref="E22" r:id="rId21" xr:uid="{2A036024-D7BD-46BA-A990-01323DD1BB32}"/>
    <hyperlink ref="E23" r:id="rId22" xr:uid="{9873E3B4-5D87-4603-9D08-9D7E5437F716}"/>
    <hyperlink ref="E24" r:id="rId23" xr:uid="{09413378-9E51-473B-851B-4AD16D91BCE2}"/>
    <hyperlink ref="E25" r:id="rId24" xr:uid="{BC60A402-81FB-44E3-9701-2F827F088346}"/>
    <hyperlink ref="E26" r:id="rId25" xr:uid="{8D3D57D8-C7DD-4672-8474-79245858FFDE}"/>
    <hyperlink ref="E27" r:id="rId26" xr:uid="{8081FCE8-2A0A-4AC4-9C82-FB3DBDE5BE0C}"/>
    <hyperlink ref="E28" r:id="rId27" xr:uid="{10311082-F982-4FAF-A0E0-848CF7BD001F}"/>
    <hyperlink ref="E29" r:id="rId28" xr:uid="{79BBBE0A-EF0F-42B0-8C9B-63C339807302}"/>
    <hyperlink ref="E30" r:id="rId29" xr:uid="{5B3D199A-9395-41C7-9B60-163D79B712F2}"/>
    <hyperlink ref="E31" r:id="rId30" xr:uid="{B37A65EE-2501-4FD0-8FB9-8CA2DAE80282}"/>
    <hyperlink ref="E32" r:id="rId31" xr:uid="{7F6FD5F0-D57D-4A1C-8037-F1EAD7CFC214}"/>
    <hyperlink ref="E33" r:id="rId32" xr:uid="{BD0693CE-712B-4160-BF68-0FB3EA3788CE}"/>
    <hyperlink ref="E34" r:id="rId33" xr:uid="{F86BD71A-15C6-4B2E-ABE3-FFDD7B6982B5}"/>
    <hyperlink ref="E35" r:id="rId34" xr:uid="{57636C66-12A0-4A66-993E-8C2BC8CF480C}"/>
    <hyperlink ref="E36" r:id="rId35" xr:uid="{1034D31B-E1D9-464D-894D-E2106331329D}"/>
    <hyperlink ref="E37" r:id="rId36" xr:uid="{086C83D1-E7CD-4190-AC0D-A79CF376BA74}"/>
    <hyperlink ref="E38" r:id="rId37" xr:uid="{803ABC94-0489-4F7E-8709-BC6DB7D1FA9C}"/>
    <hyperlink ref="E39" r:id="rId38" xr:uid="{500FE50A-64A3-453D-B283-935F4EC7B0E7}"/>
    <hyperlink ref="E40" r:id="rId39" xr:uid="{F02857A9-A90C-46E5-A13E-54CCC20DBB28}"/>
    <hyperlink ref="E41" r:id="rId40" xr:uid="{39D5A372-6B55-4111-8CB1-F4763192C126}"/>
    <hyperlink ref="E42" r:id="rId41" xr:uid="{37F3A416-3D28-4161-BA6B-EBF04B9F7AF8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8"/>
  <sheetViews>
    <sheetView tabSelected="1" topLeftCell="B2" workbookViewId="0">
      <selection activeCell="C11" sqref="C11"/>
    </sheetView>
  </sheetViews>
  <sheetFormatPr defaultColWidth="9.28515625" defaultRowHeight="15" x14ac:dyDescent="0.25"/>
  <cols>
    <col min="1" max="1" width="22.140625" style="7" hidden="1" customWidth="1"/>
    <col min="2" max="2" width="64.5703125" style="8" customWidth="1"/>
    <col min="3" max="3" width="15.42578125" style="9" customWidth="1"/>
    <col min="4" max="4" width="20.85546875" style="10" customWidth="1"/>
    <col min="5" max="5" width="9.28515625" style="11" customWidth="1"/>
    <col min="6" max="6" width="12.28515625" style="11" customWidth="1"/>
    <col min="7" max="7" width="10.42578125" style="11" customWidth="1"/>
    <col min="8" max="8" width="9.28515625" style="11"/>
    <col min="9" max="9" width="9.28515625" style="11" customWidth="1"/>
    <col min="10" max="10" width="23.5703125" style="11" customWidth="1"/>
    <col min="11" max="11" width="18.5703125" style="10" customWidth="1"/>
    <col min="12" max="13" width="23.85546875" style="10" customWidth="1"/>
    <col min="14" max="14" width="9.28515625" style="11"/>
    <col min="15" max="15" width="21.140625" style="11" customWidth="1"/>
    <col min="16" max="16384" width="9.28515625" style="11"/>
  </cols>
  <sheetData>
    <row r="1" spans="1:13" hidden="1" x14ac:dyDescent="0.25">
      <c r="A1" s="7" t="s">
        <v>102</v>
      </c>
      <c r="B1" s="8" t="s">
        <v>101</v>
      </c>
      <c r="C1" s="9" t="s">
        <v>103</v>
      </c>
    </row>
    <row r="2" spans="1:13" s="24" customFormat="1" ht="18.75" x14ac:dyDescent="0.3">
      <c r="A2" s="25" t="s">
        <v>96</v>
      </c>
      <c r="B2" s="26" t="s">
        <v>66</v>
      </c>
      <c r="C2" s="55"/>
      <c r="D2" s="55"/>
      <c r="E2" s="55"/>
      <c r="F2" s="55"/>
      <c r="G2" s="55"/>
      <c r="H2" s="55"/>
      <c r="I2" s="55"/>
      <c r="J2" s="55"/>
      <c r="K2" s="23"/>
      <c r="L2" s="23"/>
      <c r="M2" s="23"/>
    </row>
    <row r="3" spans="1:13" ht="15.75" x14ac:dyDescent="0.25">
      <c r="A3" s="51"/>
      <c r="B3" s="8" t="s">
        <v>74</v>
      </c>
      <c r="C3" s="9">
        <f>COUNTA('Team Information'!A:A) - COUNTA('Team Information'!A1)</f>
        <v>41</v>
      </c>
      <c r="E3" s="52" t="s">
        <v>71</v>
      </c>
      <c r="F3" s="52"/>
      <c r="G3" s="52"/>
      <c r="H3" s="52"/>
      <c r="I3" s="52"/>
      <c r="J3" s="22" t="str">
        <f>IF(OR(ISNA($A$43), COUNTBLANK($C$15:$C$16) &gt; 1), "N/A", $C$26 + TIME(0, AVERAGE($E$35:$CU$35)*$A$43, 0) + TIME(0, IF($C$26 &lt; $C$15, $C$16, 0), 0))</f>
        <v>N/A</v>
      </c>
    </row>
    <row r="6" spans="1:13" x14ac:dyDescent="0.25">
      <c r="A6" s="7" t="s">
        <v>86</v>
      </c>
      <c r="B6" s="8" t="s">
        <v>67</v>
      </c>
      <c r="C6" s="4" t="s">
        <v>68</v>
      </c>
      <c r="D6" s="53" t="s">
        <v>85</v>
      </c>
      <c r="E6" s="54"/>
      <c r="F6" s="54"/>
      <c r="G6" s="54"/>
      <c r="H6" s="54"/>
      <c r="I6" s="54"/>
      <c r="J6" s="54"/>
      <c r="K6" s="54"/>
      <c r="L6" s="54"/>
      <c r="M6" s="11"/>
    </row>
    <row r="7" spans="1:13" x14ac:dyDescent="0.25">
      <c r="A7" s="7" t="s">
        <v>87</v>
      </c>
      <c r="B7" s="8" t="s">
        <v>78</v>
      </c>
      <c r="C7" s="42"/>
      <c r="D7" s="53"/>
      <c r="E7" s="54"/>
      <c r="F7" s="54"/>
      <c r="G7" s="54"/>
      <c r="H7" s="54"/>
      <c r="I7" s="54"/>
      <c r="J7" s="54"/>
      <c r="K7" s="54"/>
      <c r="L7" s="54"/>
      <c r="M7" s="11"/>
    </row>
    <row r="8" spans="1:13" x14ac:dyDescent="0.25">
      <c r="A8" s="7" t="s">
        <v>127</v>
      </c>
      <c r="B8" s="8" t="s">
        <v>134</v>
      </c>
      <c r="C8" s="43"/>
      <c r="D8" s="27"/>
      <c r="E8" s="27"/>
      <c r="F8" s="27"/>
      <c r="G8" s="27"/>
      <c r="H8" s="27"/>
      <c r="I8" s="27"/>
      <c r="J8" s="27"/>
      <c r="K8" s="27"/>
      <c r="L8" s="27"/>
      <c r="M8" s="11"/>
    </row>
    <row r="9" spans="1:13" x14ac:dyDescent="0.25">
      <c r="A9" s="7" t="s">
        <v>128</v>
      </c>
      <c r="B9" s="8" t="s">
        <v>133</v>
      </c>
      <c r="C9" s="42"/>
      <c r="D9" s="27"/>
      <c r="E9" s="27"/>
      <c r="F9" s="27"/>
      <c r="G9" s="27"/>
      <c r="H9" s="27"/>
      <c r="I9" s="27"/>
      <c r="J9" s="27"/>
      <c r="K9" s="27"/>
      <c r="L9" s="27"/>
      <c r="M9" s="11"/>
    </row>
    <row r="10" spans="1:13" x14ac:dyDescent="0.25">
      <c r="A10" s="7" t="s">
        <v>132</v>
      </c>
      <c r="B10" s="8" t="s">
        <v>135</v>
      </c>
      <c r="C10" s="42"/>
      <c r="D10" s="27"/>
      <c r="E10" s="27"/>
      <c r="F10" s="27"/>
      <c r="G10" s="27"/>
      <c r="H10" s="27"/>
      <c r="I10" s="27"/>
      <c r="J10" s="27"/>
      <c r="K10" s="27"/>
      <c r="L10" s="27"/>
      <c r="M10" s="11"/>
    </row>
    <row r="11" spans="1:13" x14ac:dyDescent="0.25">
      <c r="A11" s="7" t="s">
        <v>129</v>
      </c>
      <c r="B11" s="8" t="s">
        <v>131</v>
      </c>
      <c r="C11" s="43"/>
      <c r="D11" s="27"/>
      <c r="E11" s="27"/>
      <c r="F11" s="27"/>
      <c r="G11" s="27"/>
      <c r="H11" s="27"/>
      <c r="I11" s="27"/>
      <c r="J11" s="27"/>
      <c r="K11" s="27"/>
      <c r="L11" s="27"/>
      <c r="M11" s="11"/>
    </row>
    <row r="12" spans="1:13" x14ac:dyDescent="0.25">
      <c r="A12" s="7" t="s">
        <v>130</v>
      </c>
      <c r="B12" s="8" t="s">
        <v>144</v>
      </c>
      <c r="C12" s="42"/>
      <c r="D12" s="21"/>
      <c r="E12" s="27"/>
      <c r="F12" s="27"/>
      <c r="G12" s="27"/>
      <c r="H12" s="27"/>
      <c r="I12" s="27"/>
      <c r="J12" s="27"/>
      <c r="K12" s="27"/>
      <c r="L12" s="27"/>
      <c r="M12" s="11"/>
    </row>
    <row r="13" spans="1:13" x14ac:dyDescent="0.25">
      <c r="A13" s="7" t="s">
        <v>136</v>
      </c>
      <c r="B13" s="8" t="s">
        <v>137</v>
      </c>
      <c r="C13" s="42"/>
      <c r="D13" s="21"/>
      <c r="E13" s="27"/>
      <c r="F13" s="27"/>
      <c r="G13" s="27"/>
      <c r="H13" s="27"/>
      <c r="I13" s="27"/>
      <c r="J13" s="27"/>
      <c r="K13" s="27"/>
      <c r="L13" s="27"/>
      <c r="M13" s="11"/>
    </row>
    <row r="14" spans="1:13" x14ac:dyDescent="0.25">
      <c r="A14" s="7" t="s">
        <v>147</v>
      </c>
      <c r="B14" s="8" t="s">
        <v>153</v>
      </c>
      <c r="C14" s="43"/>
      <c r="D14" s="21"/>
      <c r="E14" s="27"/>
      <c r="F14" s="27"/>
      <c r="G14" s="27"/>
      <c r="H14" s="27"/>
      <c r="I14" s="27"/>
      <c r="J14" s="27"/>
      <c r="K14" s="27"/>
      <c r="L14" s="27"/>
      <c r="M14" s="11"/>
    </row>
    <row r="15" spans="1:13" x14ac:dyDescent="0.25">
      <c r="A15" s="7" t="s">
        <v>148</v>
      </c>
      <c r="B15" s="8" t="s">
        <v>154</v>
      </c>
      <c r="C15" s="43"/>
      <c r="D15" s="21"/>
      <c r="E15" s="27"/>
      <c r="F15" s="27"/>
      <c r="G15" s="27"/>
      <c r="H15" s="27"/>
      <c r="I15" s="27"/>
      <c r="J15" s="27"/>
      <c r="K15" s="27"/>
      <c r="L15" s="27"/>
      <c r="M15" s="11"/>
    </row>
    <row r="16" spans="1:13" x14ac:dyDescent="0.25">
      <c r="A16" s="7" t="s">
        <v>145</v>
      </c>
      <c r="B16" s="8" t="s">
        <v>155</v>
      </c>
      <c r="C16" s="44"/>
      <c r="D16" s="21"/>
      <c r="E16" s="27"/>
      <c r="F16" s="27"/>
      <c r="G16" s="27"/>
      <c r="H16" s="27"/>
      <c r="I16" s="27"/>
      <c r="J16" s="27"/>
      <c r="K16" s="27"/>
      <c r="L16" s="27"/>
      <c r="M16" s="11"/>
    </row>
    <row r="17" spans="1:13" x14ac:dyDescent="0.25">
      <c r="A17" s="7" t="s">
        <v>141</v>
      </c>
      <c r="B17" s="12"/>
      <c r="H17" s="34"/>
      <c r="J17" s="34"/>
    </row>
    <row r="18" spans="1:13" x14ac:dyDescent="0.25">
      <c r="A18" s="7" t="s">
        <v>142</v>
      </c>
      <c r="B18" s="12" t="s">
        <v>72</v>
      </c>
      <c r="D18" s="14" t="s">
        <v>69</v>
      </c>
    </row>
    <row r="19" spans="1:13" x14ac:dyDescent="0.25">
      <c r="A19" s="7" t="s">
        <v>100</v>
      </c>
      <c r="B19" s="8" t="s">
        <v>80</v>
      </c>
      <c r="C19" s="46"/>
      <c r="D19" s="18">
        <f>MAX(C8+TIME(0, C9, 0), C11 + TIME(0, C12, 0)) + TIME(0, C7, 0)</f>
        <v>0</v>
      </c>
      <c r="E19" s="19"/>
    </row>
    <row r="20" spans="1:13" x14ac:dyDescent="0.25">
      <c r="A20" s="7" t="s">
        <v>88</v>
      </c>
      <c r="B20" s="8" t="s">
        <v>77</v>
      </c>
      <c r="C20" s="45"/>
      <c r="D20" s="20">
        <f>CEILING(C3/12, 1)</f>
        <v>4</v>
      </c>
      <c r="E20" s="17"/>
    </row>
    <row r="21" spans="1:13" x14ac:dyDescent="0.25">
      <c r="A21" s="7" t="s">
        <v>89</v>
      </c>
      <c r="B21" s="8" t="s">
        <v>75</v>
      </c>
      <c r="C21" s="47"/>
      <c r="D21" s="20" t="str">
        <f>IF(COUNTIF('Team Information'!$1:$1, "Division") &gt; 0, "Disabled with divisions", IF(OR(MOD(C3, 2), C20 &gt; 2), "Yes", "No"))</f>
        <v>Disabled with divisions</v>
      </c>
      <c r="E21" s="17"/>
    </row>
    <row r="22" spans="1:13" x14ac:dyDescent="0.25">
      <c r="A22" s="7" t="s">
        <v>143</v>
      </c>
      <c r="B22" s="8" t="s">
        <v>82</v>
      </c>
      <c r="C22" s="16" t="str">
        <f>IF(ISBLANK(C20), "N/A", IF(C21="Yes",1+_xlfn.CEILING.MATH((C3-1)/C20), _xlfn.CEILING.MATH(C3/C20)))</f>
        <v>N/A</v>
      </c>
      <c r="D22" s="10" t="s">
        <v>83</v>
      </c>
      <c r="E22" s="17"/>
      <c r="F22" s="9"/>
      <c r="J22" s="35"/>
    </row>
    <row r="23" spans="1:13" x14ac:dyDescent="0.25">
      <c r="A23" s="7" t="s">
        <v>90</v>
      </c>
      <c r="B23" s="8" t="s">
        <v>76</v>
      </c>
      <c r="C23" s="48"/>
      <c r="D23" s="10">
        <v>17.5</v>
      </c>
      <c r="E23" s="15"/>
    </row>
    <row r="24" spans="1:13" x14ac:dyDescent="0.25">
      <c r="A24" s="7" t="s">
        <v>91</v>
      </c>
      <c r="B24" s="8" t="s">
        <v>156</v>
      </c>
      <c r="C24" s="48"/>
      <c r="D24" s="10">
        <v>3</v>
      </c>
    </row>
    <row r="25" spans="1:13" x14ac:dyDescent="0.25">
      <c r="A25" s="7" t="s">
        <v>92</v>
      </c>
      <c r="B25" s="8" t="s">
        <v>79</v>
      </c>
      <c r="C25" s="48"/>
      <c r="D25" s="10" t="str">
        <f>IF(OR(C24 = 0, ISBLANK(C24), ISBLANK(C23)), "", MAX(C24*(20 - C23), 0))</f>
        <v/>
      </c>
    </row>
    <row r="26" spans="1:13" x14ac:dyDescent="0.25">
      <c r="A26" s="36" t="e">
        <f>MAX(C19:D19) + C22*TIME(0, C23, 0) + IF(C24 &gt; 0, TIME(0, C25, 0)*FLOOR((C22 - IF(C21="Yes", 3, 2))/C24, 1), 0)</f>
        <v>#VALUE!</v>
      </c>
      <c r="B26" s="8" t="s">
        <v>81</v>
      </c>
      <c r="C26" s="13" t="str">
        <f>IF(COUNTBLANK(C15:C25) &gt; 2, "N/A", A26 + IF(A26&gt;C15, TIME(0, MAX(0, C16 - C25), 0), 0))</f>
        <v>N/A</v>
      </c>
      <c r="K26" s="14"/>
      <c r="L26" s="14"/>
      <c r="M26" s="14"/>
    </row>
    <row r="27" spans="1:13" x14ac:dyDescent="0.25">
      <c r="C27" s="13"/>
      <c r="K27" s="14"/>
      <c r="L27" s="14"/>
      <c r="M27" s="14"/>
    </row>
    <row r="28" spans="1:13" s="31" customFormat="1" x14ac:dyDescent="0.25">
      <c r="A28" s="33" t="s">
        <v>97</v>
      </c>
      <c r="B28" s="30" t="s">
        <v>64</v>
      </c>
      <c r="C28" s="49"/>
      <c r="D28" s="50"/>
      <c r="K28" s="32"/>
      <c r="L28" s="32"/>
      <c r="M28" s="32"/>
    </row>
    <row r="29" spans="1:13" s="31" customFormat="1" x14ac:dyDescent="0.25">
      <c r="A29" s="33" t="s">
        <v>98</v>
      </c>
      <c r="B29" s="30" t="s">
        <v>65</v>
      </c>
      <c r="C29" s="49"/>
      <c r="D29" s="50"/>
      <c r="K29" s="32"/>
      <c r="L29" s="32"/>
      <c r="M29" s="32"/>
    </row>
    <row r="30" spans="1:13" s="31" customFormat="1" x14ac:dyDescent="0.25">
      <c r="A30" s="33" t="s">
        <v>99</v>
      </c>
      <c r="B30" s="30" t="s">
        <v>70</v>
      </c>
      <c r="C30" s="49"/>
      <c r="D30" s="50"/>
      <c r="K30" s="32"/>
      <c r="L30" s="32"/>
      <c r="M30" s="32"/>
    </row>
    <row r="31" spans="1:13" s="9" customFormat="1" x14ac:dyDescent="0.25">
      <c r="A31" s="7"/>
      <c r="B31" s="8"/>
      <c r="D31" s="10"/>
      <c r="K31" s="10"/>
      <c r="L31" s="10"/>
      <c r="M31" s="10"/>
    </row>
    <row r="32" spans="1:13" x14ac:dyDescent="0.25">
      <c r="B32" s="12" t="s">
        <v>73</v>
      </c>
      <c r="I32" s="8"/>
      <c r="J32" s="9"/>
    </row>
    <row r="33" spans="1:13" s="31" customFormat="1" ht="15.4" customHeight="1" x14ac:dyDescent="0.25">
      <c r="A33" s="33" t="s">
        <v>94</v>
      </c>
      <c r="B33" s="30" t="s">
        <v>146</v>
      </c>
      <c r="D33" s="32"/>
      <c r="K33" s="32"/>
      <c r="L33" s="32"/>
      <c r="M33" s="32"/>
    </row>
    <row r="34" spans="1:13" s="31" customFormat="1" ht="15.4" customHeight="1" x14ac:dyDescent="0.25">
      <c r="A34" s="33" t="s">
        <v>159</v>
      </c>
      <c r="B34" s="30" t="s">
        <v>158</v>
      </c>
      <c r="D34" s="32"/>
      <c r="K34" s="32"/>
      <c r="L34" s="32"/>
      <c r="M34" s="32"/>
    </row>
    <row r="35" spans="1:13" s="5" customFormat="1" x14ac:dyDescent="0.25">
      <c r="A35" s="7" t="s">
        <v>95</v>
      </c>
      <c r="B35" s="8" t="s">
        <v>138</v>
      </c>
      <c r="K35" s="6"/>
      <c r="L35" s="6"/>
      <c r="M35" s="6"/>
    </row>
    <row r="36" spans="1:13" s="9" customFormat="1" x14ac:dyDescent="0.25">
      <c r="A36" s="7"/>
      <c r="B36" s="8" t="s">
        <v>139</v>
      </c>
      <c r="C36" s="9" t="str">
        <f>IF(ISBLANK(C33), "", 10)</f>
        <v/>
      </c>
      <c r="D36" s="9" t="str">
        <f>IF(OR(ISBLANK(D33), ISBLANK(C36)), "", 10)</f>
        <v/>
      </c>
      <c r="E36" s="9" t="str">
        <f t="shared" ref="E36:K36" si="0">IF(OR(ISBLANK(E33), ISBLANK(D36)), "", 8)</f>
        <v/>
      </c>
      <c r="F36" s="9" t="str">
        <f t="shared" si="0"/>
        <v/>
      </c>
      <c r="G36" s="9" t="str">
        <f t="shared" si="0"/>
        <v/>
      </c>
      <c r="H36" s="9" t="str">
        <f t="shared" si="0"/>
        <v/>
      </c>
      <c r="I36" s="9" t="str">
        <f t="shared" si="0"/>
        <v/>
      </c>
      <c r="J36" s="9" t="str">
        <f t="shared" si="0"/>
        <v/>
      </c>
      <c r="K36" s="9" t="str">
        <f t="shared" si="0"/>
        <v/>
      </c>
      <c r="M36" s="10"/>
    </row>
    <row r="37" spans="1:13" s="9" customFormat="1" x14ac:dyDescent="0.25">
      <c r="A37" s="11" t="e">
        <f>IF(ISNUMBER(C38), CEILING(C3*COUNT(E35:S35)/(2*C38), 1), NA())</f>
        <v>#N/A</v>
      </c>
      <c r="B37" s="8"/>
      <c r="M37" s="10"/>
    </row>
    <row r="38" spans="1:13" x14ac:dyDescent="0.25">
      <c r="A38" s="7" t="s">
        <v>93</v>
      </c>
      <c r="B38" s="8" t="s">
        <v>84</v>
      </c>
      <c r="C38" s="4"/>
      <c r="D38" s="10" t="str">
        <f>IF(OR(ISBLANK(C20), COUNTBLANK(C23:C25) &gt; 0), "N/A", CEILING(3/2*C20*C35/(C23+C25/C24), 1))</f>
        <v>N/A</v>
      </c>
    </row>
    <row r="39" spans="1:13" x14ac:dyDescent="0.25">
      <c r="A39" s="7" t="s">
        <v>149</v>
      </c>
      <c r="B39" s="8" t="s">
        <v>150</v>
      </c>
      <c r="C39" s="29"/>
    </row>
    <row r="40" spans="1:13" x14ac:dyDescent="0.25">
      <c r="A40" s="7" t="s">
        <v>152</v>
      </c>
      <c r="B40" s="8" t="s">
        <v>157</v>
      </c>
      <c r="C40" s="28"/>
    </row>
    <row r="41" spans="1:13" s="32" customFormat="1" x14ac:dyDescent="0.25">
      <c r="A41" s="33" t="s">
        <v>105</v>
      </c>
      <c r="B41" s="30" t="s">
        <v>104</v>
      </c>
    </row>
    <row r="42" spans="1:13" s="32" customFormat="1" x14ac:dyDescent="0.25">
      <c r="A42" s="33" t="s">
        <v>140</v>
      </c>
      <c r="B42" s="30" t="s">
        <v>151</v>
      </c>
    </row>
    <row r="43" spans="1:13" x14ac:dyDescent="0.25">
      <c r="A43" s="11" t="e">
        <f>IF(COUNTA(C39:C40) = 2, A37 + IF(C40 = 0, 0, FLOOR(A37/C40, 1)) + IF(C39 = "Yes", 1/2, 0), NA())</f>
        <v>#N/A</v>
      </c>
    </row>
    <row r="48" spans="1:13" x14ac:dyDescent="0.25">
      <c r="I48" s="34"/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5">
    <cfRule type="expression" dxfId="5" priority="4">
      <formula>AND(COLUMN() &gt; 2, NOT(ISBLANK(A$33)))</formula>
    </cfRule>
  </conditionalFormatting>
  <conditionalFormatting sqref="A41:XFD41">
    <cfRule type="expression" dxfId="4" priority="13">
      <formula>AND(COLUMN() - 2 &gt; $C$38, NOT(ISBLANK(A41)))</formula>
    </cfRule>
    <cfRule type="expression" dxfId="3" priority="14">
      <formula>AND(COLUMN() &gt; 2, COLUMN()  - 3 &lt; $C$38, NOT(ISBLANK(A41)))</formula>
    </cfRule>
    <cfRule type="expression" dxfId="2" priority="15">
      <formula>AND(COLUMN() &gt; 2, COLUMN() - 3 &lt; $C$38)</formula>
    </cfRule>
  </conditionalFormatting>
  <conditionalFormatting sqref="A42:XFD42">
    <cfRule type="expression" dxfId="1" priority="16">
      <formula>AND(OR(ISBLANK(A41), COLUMN() - 2 &gt; $C$38), NOT(ISBLANK(A42)))</formula>
    </cfRule>
    <cfRule type="expression" dxfId="0" priority="17">
      <formula>AND(COLUMN() &gt; 2, COLUMN() - 3 &lt; $C$38, NOT(ISBLANK(A41)))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8" xr:uid="{311BABB6-58E0-4E57-8CC3-2F1F40587AB3}">
      <formula1>0</formula1>
    </dataValidation>
    <dataValidation type="decimal" operator="greaterThan" allowBlank="1" showInputMessage="1" showErrorMessage="1" sqref="C23 A35" xr:uid="{ED0546B4-7349-41C1-BFAD-32BAA738CCD3}">
      <formula1>0</formula1>
    </dataValidation>
    <dataValidation type="list" operator="greaterThan" allowBlank="1" showInputMessage="1" showErrorMessage="1" sqref="C39" xr:uid="{6218AE0D-2C17-480F-BB55-556A06BA172B}">
      <formula1>"Yes, No"</formula1>
    </dataValidation>
    <dataValidation type="decimal" operator="greaterThanOrEqual" allowBlank="1" showInputMessage="1" showErrorMessage="1" sqref="C35:XFD35" xr:uid="{FD4AC110-3841-4838-98D8-7B5BF1C23677}">
      <formula1>2.5</formula1>
    </dataValidation>
    <dataValidation type="whole" operator="greaterThanOrEqual" allowBlank="1" showInputMessage="1" showErrorMessage="1" sqref="C24 C40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247650</xdr:colOff>
                    <xdr:row>7</xdr:row>
                    <xdr:rowOff>142875</xdr:rowOff>
                  </from>
                  <to>
                    <xdr:col>9</xdr:col>
                    <xdr:colOff>1057275</xdr:colOff>
                    <xdr:row>11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2019-09-12T14:41:52Z</dcterms:modified>
</cp:coreProperties>
</file>