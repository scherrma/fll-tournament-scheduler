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934B13A8-2A8C-492D-8E55-F6E3423FDFC4}" xr6:coauthVersionLast="41" xr6:coauthVersionMax="41" xr10:uidLastSave="{00000000-0000-0000-0000-000000000000}"/>
  <bookViews>
    <workbookView xWindow="-103" yWindow="-103" windowWidth="25920" windowHeight="16749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9" i="26" l="1"/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s="1"/>
  <c r="C25" i="26" l="1"/>
  <c r="J3" i="26" s="1"/>
  <c r="D33" i="26"/>
  <c r="D18" i="26"/>
</calcChain>
</file>

<file path=xl/sharedStrings.xml><?xml version="1.0" encoding="utf-8"?>
<sst xmlns="http://schemas.openxmlformats.org/spreadsheetml/2006/main" count="251" uniqueCount="250">
  <si>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</si>
  <si>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</si>
  <si>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</si>
  <si>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</si>
  <si>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</si>
  <si>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</si>
  <si>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</si>
  <si>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</si>
  <si>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</si>
  <si>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</si>
  <si>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</si>
  <si>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</si>
  <si>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</si>
  <si>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</si>
  <si>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</si>
  <si>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</si>
  <si>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</si>
  <si>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</si>
  <si>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</si>
  <si>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</si>
  <si>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</si>
  <si>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</si>
  <si>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</si>
  <si>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</si>
  <si>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</si>
  <si>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</si>
  <si>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</si>
  <si>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</si>
  <si>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</si>
  <si>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</si>
  <si>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</si>
  <si>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</si>
  <si>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</si>
  <si>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</si>
  <si>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</si>
  <si>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</si>
  <si>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</si>
  <si>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</si>
  <si>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</si>
  <si>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</si>
  <si>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</si>
  <si>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</si>
  <si>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</si>
  <si>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</si>
  <si>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</si>
  <si>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</si>
  <si>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</si>
  <si>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</si>
  <si>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</si>
  <si>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</si>
  <si>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</si>
  <si>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</si>
  <si>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</si>
  <si>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</si>
  <si>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</si>
  <si>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</si>
  <si>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</si>
  <si>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</si>
  <si>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</si>
  <si>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</si>
  <si>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</si>
  <si>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</si>
  <si>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</si>
  <si>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</si>
  <si>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</si>
  <si>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</si>
  <si>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</si>
  <si>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</si>
  <si>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</si>
  <si>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</si>
  <si>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</si>
  <si>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</si>
  <si>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</si>
  <si>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</si>
  <si>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</si>
  <si>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</si>
  <si>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</si>
  <si>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</si>
  <si>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</si>
  <si>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</si>
  <si>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</si>
  <si>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</si>
  <si>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</si>
  <si>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</si>
  <si>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</si>
  <si>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</si>
  <si>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</si>
  <si>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</si>
  <si>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</si>
  <si>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</si>
  <si>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</si>
  <si>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</si>
  <si>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</si>
  <si>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</si>
  <si>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</si>
  <si>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</si>
  <si>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</si>
  <si>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</si>
  <si>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</si>
  <si>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</si>
  <si>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</si>
  <si>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</si>
  <si>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</si>
  <si>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</si>
  <si>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</si>
  <si>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</si>
  <si>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</si>
  <si>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</si>
  <si>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</si>
  <si>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</si>
  <si>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</si>
  <si>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</si>
  <si>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</si>
  <si>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</si>
  <si>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</si>
  <si>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</si>
  <si>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</si>
  <si>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</si>
  <si>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</si>
  <si>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</si>
  <si>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</si>
  <si>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</si>
  <si>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</si>
  <si>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</si>
  <si>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</si>
  <si>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</si>
  <si>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</si>
  <si>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</si>
  <si>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</si>
  <si>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</si>
  <si>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</si>
  <si>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</si>
  <si>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</si>
  <si>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</si>
  <si>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</si>
  <si>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</si>
  <si>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</si>
  <si>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</si>
  <si>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</si>
  <si>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</si>
  <si>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</si>
  <si>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</si>
  <si>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</si>
  <si>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</si>
  <si>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</si>
  <si>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</si>
  <si>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</si>
  <si>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</si>
  <si>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</si>
  <si>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</si>
  <si>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</si>
  <si>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</si>
  <si>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</si>
  <si>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</si>
  <si>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</si>
  <si>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</si>
  <si>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</si>
  <si>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</si>
  <si>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</si>
  <si>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</si>
  <si>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</si>
  <si>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</si>
  <si>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</si>
  <si>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</si>
  <si>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</si>
  <si>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</si>
  <si>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</si>
  <si>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</si>
  <si>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</si>
  <si>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</si>
  <si>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</si>
  <si>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</si>
  <si>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</si>
  <si>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</si>
  <si>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</si>
  <si>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</si>
  <si>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</si>
  <si>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</si>
  <si>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</si>
  <si>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</si>
  <si>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</si>
  <si>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</si>
  <si>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</si>
  <si>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</si>
  <si>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</si>
  <si>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</si>
  <si>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</si>
  <si>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</si>
  <si>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</si>
  <si>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</si>
  <si>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</si>
  <si>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</si>
  <si>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</si>
  <si>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</si>
  <si>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</si>
  <si>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</si>
  <si>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</si>
  <si>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</si>
  <si>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</si>
  <si>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</si>
  <si>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</si>
  <si>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</si>
  <si>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</si>
  <si>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</si>
  <si>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</si>
  <si>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</si>
  <si>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</si>
  <si>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</si>
  <si>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</si>
  <si>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</si>
  <si>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</si>
  <si>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</si>
  <si>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</si>
  <si>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</si>
  <si>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</si>
  <si>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</si>
  <si>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</si>
  <si>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</si>
  <si>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</si>
  <si>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</si>
  <si>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</si>
  <si>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</si>
  <si>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</si>
  <si>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</si>
  <si>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</si>
  <si>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</si>
  <si>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</si>
  <si>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</si>
  <si>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</si>
  <si>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</si>
  <si>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</si>
  <si>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</si>
  <si>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</si>
  <si>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Division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</si>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</sst>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printerSettings" Target="../printerSettings/printerSettings1.bin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1"/>
  <sheetViews>
    <sheetView tabSelected="1" workbookViewId="0">
      <selection activeCell="C20" sqref="C20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233</v>
      </c>
      <c r="C1" s="3" t="s">
        <v>1</v>
      </c>
      <c r="D1" s="3" t="s">
        <v>2</v>
      </c>
      <c r="E1" s="3" t="s">
        <v>192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29" t="s">
        <v>193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29" t="s">
        <v>194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29" t="s">
        <v>195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29" t="s">
        <v>196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29" t="s">
        <v>197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29" t="s">
        <v>198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29" t="s">
        <v>199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29" t="s">
        <v>200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29" t="s">
        <v>201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29" t="s">
        <v>202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29" t="s">
        <v>203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29" t="s">
        <v>205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29" t="s">
        <v>206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29" t="s">
        <v>207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29" t="s">
        <v>208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29" t="s">
        <v>209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29" t="s">
        <v>210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29" t="s">
        <v>211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29" t="s">
        <v>212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29" t="s">
        <v>213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29" t="s">
        <v>214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29" t="s">
        <v>215</v>
      </c>
      <c r="F23" s="2" t="s">
        <v>99</v>
      </c>
      <c r="G23"/>
      <c r="H23"/>
    </row>
    <row r="24" spans="1:11" x14ac:dyDescent="0.4">
      <c r="A24" s="2">
        <v>3539</v>
      </c>
      <c r="B24" s="2">
        <v>1</v>
      </c>
      <c r="C24" s="2" t="s">
        <v>63</v>
      </c>
      <c r="D24" s="2" t="s">
        <v>81</v>
      </c>
      <c r="E24" s="29" t="s">
        <v>216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29" t="s">
        <v>217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29" t="s">
        <v>218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29" t="s">
        <v>219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29" t="s">
        <v>220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29" t="s">
        <v>221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29" t="s">
        <v>222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29" t="s">
        <v>223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29" t="s">
        <v>224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29" t="s">
        <v>225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29" t="s">
        <v>226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29" t="s">
        <v>227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29" t="s">
        <v>228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29" t="s">
        <v>229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29" t="s">
        <v>230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29" t="s">
        <v>231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29" t="s">
        <v>232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29" t="s">
        <v>204</v>
      </c>
      <c r="F41" s="2" t="s">
        <v>116</v>
      </c>
      <c r="G41"/>
      <c r="H41"/>
    </row>
  </sheetData>
  <hyperlinks>
    <hyperlink ref="E2" r:id="rId1" xr:uid="{2B2CBC1E-F365-402C-B3E1-C699E971CC7B}"/>
    <hyperlink ref="E3" r:id="rId2" xr:uid="{79DFDB12-AE75-4A21-807E-98826C2D2704}"/>
    <hyperlink ref="E4" r:id="rId3" xr:uid="{B23A3DF1-CD87-459A-85CE-5CEA9A618D25}"/>
    <hyperlink ref="E5" r:id="rId4" xr:uid="{13284FC6-83E3-47A1-BE98-200C3C01EECF}"/>
    <hyperlink ref="E6" r:id="rId5" xr:uid="{D320AF55-A517-4D95-83B5-9667D12798E4}"/>
    <hyperlink ref="E7" r:id="rId6" xr:uid="{FC7346BB-3054-4BCA-A066-65471F546740}"/>
    <hyperlink ref="E8" r:id="rId7" xr:uid="{506946A7-73C2-437F-B035-B86A6D322E1B}"/>
    <hyperlink ref="E9" r:id="rId8" xr:uid="{079ECE44-901E-4BF1-B7F0-1C14FD95770C}"/>
    <hyperlink ref="E10" r:id="rId9" xr:uid="{05EAACC4-1190-4812-963D-5A3CD40065EC}"/>
    <hyperlink ref="E11" r:id="rId10" xr:uid="{4547DB87-D99B-47CB-8316-FC0F1CAA9980}"/>
    <hyperlink ref="E12" r:id="rId11" xr:uid="{C2C920C6-596A-40E2-897D-A31D36A3C333}"/>
    <hyperlink ref="E13" r:id="rId12" xr:uid="{A4B24E9B-1173-467C-B5BB-5EFB6C71019A}"/>
    <hyperlink ref="E14" r:id="rId13" xr:uid="{8C904269-5783-48C0-ACE1-ED94DFA97E36}"/>
    <hyperlink ref="E15" r:id="rId14" xr:uid="{E8780849-589F-4633-92BA-AAA03EEA24E6}"/>
    <hyperlink ref="E16" r:id="rId15" xr:uid="{85867FD4-9D4D-4B33-9670-9C70FC51C1A9}"/>
    <hyperlink ref="E17" r:id="rId16" xr:uid="{FF3B7B35-92FB-497B-A03C-FD2E731791A5}"/>
    <hyperlink ref="E18" r:id="rId17" xr:uid="{40C70412-9794-4043-BE9B-486C41305538}"/>
    <hyperlink ref="E19" r:id="rId18" xr:uid="{E13D2BD9-8AB7-4E09-9234-469F628D5768}"/>
    <hyperlink ref="E20" r:id="rId19" xr:uid="{C796E91F-C99A-4DDC-A739-6820E65F2EA2}"/>
    <hyperlink ref="E21" r:id="rId20" xr:uid="{51194B5B-6A32-4AC6-9447-8148B09B0B34}"/>
    <hyperlink ref="E22" r:id="rId21" xr:uid="{426744D1-7EF8-4D51-BDC2-73D92D56758B}"/>
    <hyperlink ref="E23" r:id="rId22" xr:uid="{ADB9584D-6577-4CB1-A277-1A4234B01696}"/>
    <hyperlink ref="E24" r:id="rId23" xr:uid="{FCC855B1-A036-467C-8485-AF730F6A4086}"/>
    <hyperlink ref="E25" r:id="rId24" xr:uid="{F1DD015A-5016-4FE4-9E89-AAE834BB8A0D}"/>
    <hyperlink ref="E26" r:id="rId25" xr:uid="{5665346F-C767-4056-8F36-B00E0737BDBB}"/>
    <hyperlink ref="E27" r:id="rId26" xr:uid="{804AB960-FD05-4F9D-904B-F7A36D2440E8}"/>
    <hyperlink ref="E28" r:id="rId27" xr:uid="{434B02BC-E313-4C1A-9EF1-207FC22FEA54}"/>
    <hyperlink ref="E29" r:id="rId28" xr:uid="{70995F80-F577-40A8-98BA-5AA7F2F1241D}"/>
    <hyperlink ref="E30" r:id="rId29" xr:uid="{9565B032-2BF5-4698-8A51-79B0DAE1DDE6}"/>
    <hyperlink ref="E31" r:id="rId30" xr:uid="{9B92663F-F56C-4D1F-9E07-D669D13AC7C8}"/>
    <hyperlink ref="E32" r:id="rId31" xr:uid="{1E2F8C43-BD3A-4421-877D-068E87BF2F21}"/>
    <hyperlink ref="E33" r:id="rId32" xr:uid="{B0FBA1DF-4FA8-4A73-981E-4A53612A07EF}"/>
    <hyperlink ref="E34" r:id="rId33" xr:uid="{81DD2C44-C0DC-49BD-9A58-2C78B798DD4C}"/>
    <hyperlink ref="E35" r:id="rId34" xr:uid="{A52C7516-0784-4715-B826-D95F2A551537}"/>
    <hyperlink ref="E36" r:id="rId35" xr:uid="{E19793AD-59A1-47C2-B0DA-75ACEAB60423}"/>
    <hyperlink ref="E37" r:id="rId36" xr:uid="{83EF1842-8FF4-4574-96AB-170AD504E232}"/>
    <hyperlink ref="E38" r:id="rId37" xr:uid="{BB0A81D1-67C4-4445-A725-76373E6BAE99}"/>
    <hyperlink ref="E39" r:id="rId38" xr:uid="{7830B1F6-0858-4198-AF2C-5E7A953B0141}"/>
    <hyperlink ref="E40" r:id="rId39" xr:uid="{5EC497A8-CF13-44AB-856D-4DDA059B6A8F}"/>
    <hyperlink ref="E41" r:id="rId40" xr:uid="{1EAB423C-6D06-494E-B11C-21C94BFAA418}"/>
  </hyperlinks>
  <pageMargins left="0.7" right="0.7" top="0.75" bottom="0.75" header="0.3" footer="0.3"/>
  <pageSetup orientation="portrait" r:id="rId4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opLeftCell="B2" workbookViewId="0">
      <selection activeCell="H16" sqref="H16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179</v>
      </c>
      <c r="B1" s="8" t="s">
        <v>178</v>
      </c>
      <c r="C1" s="9" t="s">
        <v>180</v>
      </c>
    </row>
    <row r="2" spans="1:13" s="4" customFormat="1" ht="18.45" x14ac:dyDescent="0.5">
      <c r="A2" s="26" t="s">
        <v>173</v>
      </c>
      <c r="B2" s="5" t="s">
        <v>125</v>
      </c>
      <c r="C2" s="35" t="s">
        <v>141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140</v>
      </c>
      <c r="C3" s="9">
        <f>COUNTA('Team Information'!A:A) - COUNTA('Team Information'!A1)</f>
        <v>40</v>
      </c>
      <c r="E3" s="32" t="s">
        <v>136</v>
      </c>
      <c r="F3" s="32"/>
      <c r="G3" s="32"/>
      <c r="H3" s="32"/>
      <c r="I3" s="32"/>
      <c r="J3" s="11">
        <f>C25 - TIME(0, C20, 0)  + TIME(0, C35, 0) + TIME(0, SUM(E38:L38), 0)*_xlfn.CEILING.MATH(C3/(2*C33))</f>
        <v>0.60949074074074083</v>
      </c>
    </row>
    <row r="6" spans="1:13" x14ac:dyDescent="0.4">
      <c r="A6" s="27" t="s">
        <v>159</v>
      </c>
      <c r="B6" s="8" t="s">
        <v>126</v>
      </c>
      <c r="C6" s="18" t="s">
        <v>127</v>
      </c>
      <c r="D6" s="33" t="s">
        <v>158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160</v>
      </c>
      <c r="B7" s="8" t="s">
        <v>145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234</v>
      </c>
      <c r="B8" s="8" t="s">
        <v>242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235</v>
      </c>
      <c r="B9" s="8" t="s">
        <v>241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240</v>
      </c>
      <c r="B10" s="8" t="s">
        <v>243</v>
      </c>
      <c r="C10" s="18" t="s">
        <v>244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236</v>
      </c>
      <c r="B11" s="8" t="s">
        <v>239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237</v>
      </c>
      <c r="B12" s="8" t="s">
        <v>238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245</v>
      </c>
      <c r="B13" s="8" t="s">
        <v>246</v>
      </c>
      <c r="C13" s="18" t="s">
        <v>247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137</v>
      </c>
      <c r="D15" s="13" t="s">
        <v>128</v>
      </c>
    </row>
    <row r="16" spans="1:13" x14ac:dyDescent="0.4">
      <c r="A16" s="27" t="s">
        <v>177</v>
      </c>
      <c r="B16" s="8" t="s">
        <v>152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161</v>
      </c>
      <c r="B17" s="8" t="s">
        <v>144</v>
      </c>
      <c r="C17" s="18">
        <v>4</v>
      </c>
      <c r="D17" s="22">
        <f>CEILING(C3/12, 1)</f>
        <v>4</v>
      </c>
      <c r="E17" s="21"/>
    </row>
    <row r="18" spans="1:13" x14ac:dyDescent="0.4">
      <c r="A18" s="27" t="s">
        <v>162</v>
      </c>
      <c r="B18" s="8" t="s">
        <v>142</v>
      </c>
      <c r="C18" s="18" t="s">
        <v>187</v>
      </c>
      <c r="D18" s="22" t="str">
        <f>IF(OR(MOD(C3, 2), C17 &gt; 2), "Yes", "No")</f>
        <v>Yes</v>
      </c>
      <c r="E18" s="21"/>
    </row>
    <row r="19" spans="1:13" x14ac:dyDescent="0.4">
      <c r="B19" s="8" t="s">
        <v>154</v>
      </c>
      <c r="C19" s="19">
        <f>IF(C18="Yes",1+_xlfn.CEILING.MATH((C3-1)/C17), _xlfn.CEILING.MATH(C3/C17))</f>
        <v>11</v>
      </c>
      <c r="D19" s="10" t="s">
        <v>155</v>
      </c>
      <c r="E19" s="21"/>
      <c r="F19" s="9"/>
    </row>
    <row r="20" spans="1:13" x14ac:dyDescent="0.4">
      <c r="A20" s="27" t="s">
        <v>163</v>
      </c>
      <c r="B20" s="8" t="s">
        <v>143</v>
      </c>
      <c r="C20" s="18">
        <v>17.5</v>
      </c>
      <c r="D20" s="10">
        <v>17.5</v>
      </c>
      <c r="E20" s="20"/>
    </row>
    <row r="21" spans="1:13" x14ac:dyDescent="0.4">
      <c r="A21" s="27" t="s">
        <v>164</v>
      </c>
      <c r="B21" s="8" t="s">
        <v>146</v>
      </c>
      <c r="C21" s="18">
        <v>3</v>
      </c>
      <c r="D21" s="10">
        <v>3</v>
      </c>
    </row>
    <row r="22" spans="1:13" x14ac:dyDescent="0.4">
      <c r="A22" s="27" t="s">
        <v>165</v>
      </c>
      <c r="B22" s="8" t="s">
        <v>147</v>
      </c>
      <c r="C22" s="18">
        <v>7.5</v>
      </c>
      <c r="D22" s="10">
        <f>MAX(C21*(20 - C20), 0)</f>
        <v>7.5</v>
      </c>
    </row>
    <row r="23" spans="1:13" x14ac:dyDescent="0.4">
      <c r="A23" s="27" t="s">
        <v>166</v>
      </c>
      <c r="B23" s="8" t="s">
        <v>148</v>
      </c>
      <c r="C23" s="28">
        <v>0.54166666666666663</v>
      </c>
      <c r="D23" s="14">
        <v>0.54166666666666663</v>
      </c>
    </row>
    <row r="24" spans="1:13" x14ac:dyDescent="0.4">
      <c r="A24" s="27" t="s">
        <v>167</v>
      </c>
      <c r="B24" s="8" t="s">
        <v>150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153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174</v>
      </c>
      <c r="B27" s="8" t="s">
        <v>123</v>
      </c>
      <c r="C27" s="17" t="s">
        <v>129</v>
      </c>
      <c r="D27" s="16" t="s">
        <v>130</v>
      </c>
      <c r="E27" s="15" t="s">
        <v>139</v>
      </c>
      <c r="F27" s="15" t="s">
        <v>156</v>
      </c>
      <c r="K27" s="16"/>
      <c r="L27" s="16"/>
      <c r="M27" s="16"/>
    </row>
    <row r="28" spans="1:13" s="15" customFormat="1" x14ac:dyDescent="0.4">
      <c r="A28" s="27" t="s">
        <v>175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K28" s="16"/>
      <c r="L28" s="16"/>
      <c r="M28" s="16"/>
    </row>
    <row r="29" spans="1:13" s="15" customFormat="1" x14ac:dyDescent="0.4">
      <c r="A29" s="27" t="s">
        <v>176</v>
      </c>
      <c r="B29" s="8" t="s">
        <v>134</v>
      </c>
      <c r="C29" s="15" t="s">
        <v>189</v>
      </c>
      <c r="D29" s="16" t="s">
        <v>188</v>
      </c>
      <c r="E29" s="15" t="s">
        <v>190</v>
      </c>
      <c r="F29" s="15" t="s">
        <v>191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138</v>
      </c>
      <c r="I32" s="8"/>
      <c r="J32" s="9"/>
    </row>
    <row r="33" spans="1:13" x14ac:dyDescent="0.4">
      <c r="A33" s="27" t="s">
        <v>168</v>
      </c>
      <c r="B33" s="8" t="s">
        <v>157</v>
      </c>
      <c r="C33" s="18">
        <v>3</v>
      </c>
      <c r="D33" s="10">
        <f>CEILING(3/2*D17*C38/(D20+D22/D21), 1)</f>
        <v>3</v>
      </c>
      <c r="I33" s="8"/>
      <c r="J33" s="9"/>
    </row>
    <row r="34" spans="1:13" x14ac:dyDescent="0.4">
      <c r="A34" s="27" t="s">
        <v>169</v>
      </c>
      <c r="B34" s="8" t="s">
        <v>149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170</v>
      </c>
      <c r="B35" s="8" t="s">
        <v>151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171</v>
      </c>
      <c r="B37" s="8" t="s">
        <v>135</v>
      </c>
      <c r="C37" s="15" t="s">
        <v>181</v>
      </c>
      <c r="D37" s="16" t="s">
        <v>131</v>
      </c>
      <c r="E37" s="15" t="s">
        <v>132</v>
      </c>
      <c r="F37" s="15" t="s">
        <v>133</v>
      </c>
      <c r="K37" s="16"/>
      <c r="L37" s="16"/>
      <c r="M37" s="16"/>
    </row>
    <row r="38" spans="1:13" s="15" customFormat="1" x14ac:dyDescent="0.4">
      <c r="A38" s="27" t="s">
        <v>172</v>
      </c>
      <c r="B38" s="8" t="s">
        <v>248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249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183</v>
      </c>
      <c r="B41" s="8" t="s">
        <v>182</v>
      </c>
      <c r="C41" s="17" t="s">
        <v>186</v>
      </c>
      <c r="D41" s="16" t="s">
        <v>184</v>
      </c>
      <c r="E41" s="15" t="s">
        <v>185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2019-04-01T23:22:57Z</dcterms:modified>
</cp:coreProperties>
</file>