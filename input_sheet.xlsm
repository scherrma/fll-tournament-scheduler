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1A3C6FFD-7C8D-4D3E-BDD9-0AACAD3B24B5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26" l="1"/>
  <c r="D22" i="26"/>
  <c r="J3" i="26" l="1"/>
  <c r="C19" i="26"/>
  <c r="C25" i="26" s="1"/>
  <c r="D39" i="26"/>
  <c r="E39" i="26" s="1"/>
  <c r="F39" i="26" s="1"/>
  <c r="G39" i="26" s="1"/>
  <c r="H39" i="26" s="1"/>
  <c r="I39" i="26" s="1"/>
  <c r="J39" i="26" s="1"/>
  <c r="K39" i="26" s="1"/>
  <c r="L39" i="26" s="1"/>
  <c r="D16" i="26" l="1"/>
  <c r="C3" i="26" l="1"/>
  <c r="D17" i="26" l="1"/>
  <c r="D18" i="26"/>
</calcChain>
</file>

<file path=xl/sharedStrings.xml><?xml version="1.0" encoding="utf-8"?>
<sst xmlns="http://schemas.openxmlformats.org/spreadsheetml/2006/main" count="167" uniqueCount="167">
  <si>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</si>
  <si>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</si>
  <si>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</si>
  <si>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</si>
  <si>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</si>
  <si>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</si>
  <si>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</si>
  <si>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</si>
  <si>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</si>
  <si>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</si>
  <si>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</si>
  <si>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</si>
  <si>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</si>
  <si>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</si>
  <si>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</si>
  <si>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</si>
  <si>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</si>
  <si>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</si>
  <si>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</si>
  <si>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</si>
  <si>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</si>
  <si>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</si>
  <si>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</si>
  <si>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</si>
  <si>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</si>
  <si>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</si>
  <si>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</si>
  <si>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</si>
  <si>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</si>
  <si>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</si>
  <si>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</si>
  <si>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</si>
  <si>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</si>
  <si>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</si>
  <si>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</si>
  <si>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</si>
  <si>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</si>
  <si>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</si>
  <si>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</si>
  <si>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</si>
  <si>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</si>
  <si>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</si>
  <si>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</si>
  <si>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</si>
  <si>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</si>
  <si>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</si>
  <si>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</si>
  <si>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</si>
  <si>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</si>
  <si>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</si>
  <si>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</si>
  <si>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</si>
  <si>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</si>
  <si>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</si>
  <si>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</si>
  <si>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</si>
  <si>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</si>
  <si>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</si>
  <si>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</si>
  <si>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</si>
  <si>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</si>
  <si>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</si>
  <si>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</si>
  <si>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</si>
  <si>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</si>
  <si>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</si>
  <si>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</si>
  <si>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</si>
  <si>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</si>
  <si>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</si>
  <si>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</si>
  <si>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Table Round Name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</si>
  <si>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</si>
  <si>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</si>
  <si>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</si>
  <si>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</si>
  <si>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</si>
  <si>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</si>
  <si>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</si>
  <si>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</si>
  <si>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</si>
  <si>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</si>
  <si>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</si>
  <si>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</si>
  <si>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</si>
  <si>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</si>
  <si>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</si>
  <si>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</si>
  <si>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</si>
  <si>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</si>
  <si>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</si>
  <si>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</si>
  <si>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</si>
  <si>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</si>
  <si>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</si>
  <si>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</si>
  <si>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</si>
  <si>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</si>
  <si>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</si>
  <si>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</si>
  <si>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</si>
  <si>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</si>
  <si>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</si>
  <si>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</si>
  <si>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</si>
  <si>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</si>
  <si>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</si>
  <si>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</si>
  <si>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</si>
  <si>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</si>
  <si>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</si>
  <si>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</si>
  <si>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</si>
  <si>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</si>
  <si>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</si>
  <si>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</si>
  <si>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</si>
  <si>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</si>
  <si>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</si>
  <si>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</si>
  <si>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</si>
  <si>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</si>
  <si>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</si>
  <si>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</si>
  <si>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</si>
  <si>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</si>
  <si>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</si>
  <si>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</si>
  <si>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</si>
  <si>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</si>
  <si>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</si>
  <si>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</si>
  <si>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</si>
  <si>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</si>
  <si>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</si>
  <si>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</si>
  <si>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</si>
  <si>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</si>
  <si>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</si>
  <si>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</si>
  <si>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</si>
  <si>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</si>
  <si>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</si>
  <si>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</si>
  <si>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</si>
  <si>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</si>
  <si>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</si>
  <si>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</si>
  <si>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</si>
  <si>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</si>
  <si>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</si>
  <si>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</si>
  <si>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Second table name (optional; will default to &lt;name&gt; A and &lt;name&gt; B if empty)</t>
  </si>
  <si>
    <t>testing</t>
  </si>
  <si>
    <t>Gym</t>
  </si>
  <si>
    <t>Registration</t>
  </si>
  <si>
    <t>No</t>
  </si>
  <si>
    <t>PR 1</t>
  </si>
  <si>
    <t>PR 2</t>
  </si>
  <si>
    <t>RD 1</t>
  </si>
  <si>
    <t>RD 2</t>
  </si>
  <si>
    <t>CV 1</t>
  </si>
  <si>
    <t>CV 2</t>
  </si>
  <si>
    <t>Practice</t>
  </si>
  <si>
    <t>PurpleWhite</t>
  </si>
  <si>
    <t>Red</t>
  </si>
  <si>
    <t>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</si>
</sst>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18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21" fontId="0" fillId="3" borderId="0" xfId="0" applyNumberFormat="1" applyFill="1" applyAlignment="1" applyProtection="1">
      <alignment horizontal="left" vertical="center" wrapText="1" indent="1"/>
    </xf>
    <xf numFmtId="0" fontId="3" fillId="3" borderId="3" xfId="0" applyFont="1" applyFill="1" applyBorder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</cellXfs>
  <cellStyles count="2">
    <cellStyle name="Hyperlink" xfId="1" builtinId="8"/>
    <cellStyle name="Normal" xfId="0" builtinId="0"/>
  </cellStyles>
  <dxfs count="10"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157843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2"/>
  <sheetViews>
    <sheetView topLeftCell="A7" workbookViewId="0">
      <selection activeCell="A25" sqref="A25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116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117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118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120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121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122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123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124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125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126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127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128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130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131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132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133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134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135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136</v>
      </c>
      <c r="E21" s="1" t="s">
        <v>60</v>
      </c>
      <c r="F21"/>
      <c r="G21"/>
    </row>
    <row r="22" spans="1:10" x14ac:dyDescent="0.4">
      <c r="D22" s="4"/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5" workbookViewId="0">
      <selection activeCell="D41" sqref="D41"/>
    </sheetView>
  </sheetViews>
  <sheetFormatPr defaultRowHeight="14.6" x14ac:dyDescent="0.4"/>
  <cols>
    <col min="1" max="1" width="22.07421875" style="13" hidden="1" customWidth="1"/>
    <col min="2" max="2" width="69.07421875" style="14" customWidth="1"/>
    <col min="3" max="3" width="15.4609375" style="15" customWidth="1"/>
    <col min="4" max="4" width="20.84375" style="16" customWidth="1"/>
    <col min="5" max="5" width="9.23046875" style="17" customWidth="1"/>
    <col min="6" max="6" width="12.3046875" style="17" customWidth="1"/>
    <col min="7" max="7" width="10.3828125" style="17" customWidth="1"/>
    <col min="8" max="8" width="9.23046875" style="17"/>
    <col min="9" max="9" width="9.23046875" style="17" customWidth="1"/>
    <col min="10" max="10" width="23.61328125" style="17" customWidth="1"/>
    <col min="11" max="11" width="18.61328125" style="16" customWidth="1"/>
    <col min="12" max="12" width="29" style="16" customWidth="1"/>
    <col min="13" max="13" width="23.84375" style="16" customWidth="1"/>
    <col min="14" max="14" width="9.23046875" style="17"/>
    <col min="15" max="15" width="21.15234375" style="17" customWidth="1"/>
    <col min="16" max="16384" width="9.23046875" style="17"/>
  </cols>
  <sheetData>
    <row r="1" spans="1:13" hidden="1" x14ac:dyDescent="0.4">
      <c r="A1" s="13" t="s">
        <v>112</v>
      </c>
      <c r="B1" s="14" t="s">
        <v>111</v>
      </c>
      <c r="C1" s="15" t="s">
        <v>113</v>
      </c>
    </row>
    <row r="2" spans="1:13" s="35" customFormat="1" ht="18.45" x14ac:dyDescent="0.5">
      <c r="A2" s="36" t="s">
        <v>106</v>
      </c>
      <c r="B2" s="37" t="s">
        <v>66</v>
      </c>
      <c r="C2" s="10" t="s">
        <v>153</v>
      </c>
      <c r="D2" s="10"/>
      <c r="E2" s="10"/>
      <c r="F2" s="10"/>
      <c r="G2" s="10"/>
      <c r="H2" s="10"/>
      <c r="I2" s="10"/>
      <c r="J2" s="10"/>
      <c r="K2" s="34"/>
      <c r="L2" s="34"/>
      <c r="M2" s="34"/>
    </row>
    <row r="3" spans="1:13" ht="15.9" x14ac:dyDescent="0.4">
      <c r="B3" s="14" t="s">
        <v>75</v>
      </c>
      <c r="C3" s="15">
        <f>COUNTA('Team Information'!A:A) - COUNTA('Team Information'!A1)</f>
        <v>20</v>
      </c>
      <c r="E3" s="32" t="s">
        <v>72</v>
      </c>
      <c r="F3" s="32"/>
      <c r="G3" s="32"/>
      <c r="H3" s="32"/>
      <c r="I3" s="32"/>
      <c r="J3" s="33">
        <f>IF(OR(ISBLANK(C17), ISBLANK(C33), ISBLANK(C35)), "N/A", C25 - TIME(0, C20, 0)  + TIME(0, C35, 0) + TIME(0, SUM(E38:L38), 0)*_xlfn.CEILING.MATH(C3/(2*C33)))</f>
        <v>0.6342592592592593</v>
      </c>
    </row>
    <row r="6" spans="1:13" x14ac:dyDescent="0.4">
      <c r="A6" s="13" t="s">
        <v>92</v>
      </c>
      <c r="B6" s="14" t="s">
        <v>67</v>
      </c>
      <c r="C6" s="5" t="s">
        <v>68</v>
      </c>
      <c r="D6" s="28" t="s">
        <v>91</v>
      </c>
      <c r="E6" s="29"/>
      <c r="F6" s="29"/>
      <c r="G6" s="29"/>
      <c r="H6" s="29"/>
      <c r="I6" s="29"/>
      <c r="J6" s="29"/>
      <c r="K6" s="29"/>
      <c r="L6" s="29"/>
      <c r="M6" s="17"/>
    </row>
    <row r="7" spans="1:13" x14ac:dyDescent="0.4">
      <c r="A7" s="13" t="s">
        <v>93</v>
      </c>
      <c r="B7" s="14" t="s">
        <v>79</v>
      </c>
      <c r="C7" s="5">
        <v>10</v>
      </c>
      <c r="D7" s="28"/>
      <c r="E7" s="29"/>
      <c r="F7" s="29"/>
      <c r="G7" s="29"/>
      <c r="H7" s="29"/>
      <c r="I7" s="29"/>
      <c r="J7" s="29"/>
      <c r="K7" s="29"/>
      <c r="L7" s="29"/>
      <c r="M7" s="17"/>
    </row>
    <row r="8" spans="1:13" x14ac:dyDescent="0.4">
      <c r="A8" s="13" t="s">
        <v>137</v>
      </c>
      <c r="B8" s="14" t="s">
        <v>145</v>
      </c>
      <c r="C8" s="6">
        <v>0.375</v>
      </c>
      <c r="D8" s="30"/>
      <c r="E8" s="30"/>
      <c r="F8" s="30"/>
      <c r="G8" s="30"/>
      <c r="H8" s="30"/>
      <c r="I8" s="30"/>
      <c r="J8" s="30"/>
      <c r="K8" s="30"/>
      <c r="L8" s="30"/>
      <c r="M8" s="17"/>
    </row>
    <row r="9" spans="1:13" x14ac:dyDescent="0.4">
      <c r="A9" s="13" t="s">
        <v>138</v>
      </c>
      <c r="B9" s="14" t="s">
        <v>144</v>
      </c>
      <c r="C9" s="5">
        <v>15</v>
      </c>
      <c r="D9" s="30"/>
      <c r="E9" s="30"/>
      <c r="F9" s="30"/>
      <c r="G9" s="30"/>
      <c r="H9" s="30"/>
      <c r="I9" s="30"/>
      <c r="J9" s="30"/>
      <c r="K9" s="30"/>
      <c r="L9" s="30"/>
      <c r="M9" s="17"/>
    </row>
    <row r="10" spans="1:13" x14ac:dyDescent="0.4">
      <c r="A10" s="13" t="s">
        <v>143</v>
      </c>
      <c r="B10" s="14" t="s">
        <v>146</v>
      </c>
      <c r="C10" s="5" t="s">
        <v>154</v>
      </c>
      <c r="D10" s="30"/>
      <c r="E10" s="30"/>
      <c r="F10" s="30"/>
      <c r="G10" s="30"/>
      <c r="H10" s="30"/>
      <c r="I10" s="30"/>
      <c r="J10" s="30"/>
      <c r="K10" s="30"/>
      <c r="L10" s="30"/>
      <c r="M10" s="17"/>
    </row>
    <row r="11" spans="1:13" x14ac:dyDescent="0.4">
      <c r="A11" s="13" t="s">
        <v>139</v>
      </c>
      <c r="B11" s="14" t="s">
        <v>142</v>
      </c>
      <c r="C11" s="6">
        <v>0.35416666666666669</v>
      </c>
      <c r="D11" s="30"/>
      <c r="E11" s="30"/>
      <c r="F11" s="30"/>
      <c r="G11" s="30"/>
      <c r="H11" s="30"/>
      <c r="I11" s="30"/>
      <c r="J11" s="30"/>
      <c r="K11" s="30"/>
      <c r="L11" s="30"/>
      <c r="M11" s="17"/>
    </row>
    <row r="12" spans="1:13" x14ac:dyDescent="0.4">
      <c r="A12" s="17" t="s">
        <v>140</v>
      </c>
      <c r="B12" s="14" t="s">
        <v>141</v>
      </c>
      <c r="C12" s="5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17"/>
    </row>
    <row r="13" spans="1:13" x14ac:dyDescent="0.4">
      <c r="A13" s="17" t="s">
        <v>147</v>
      </c>
      <c r="B13" s="14" t="s">
        <v>148</v>
      </c>
      <c r="C13" s="5" t="s">
        <v>155</v>
      </c>
      <c r="D13" s="31"/>
      <c r="E13" s="30"/>
      <c r="F13" s="30"/>
      <c r="G13" s="30"/>
      <c r="H13" s="30"/>
      <c r="I13" s="30"/>
      <c r="J13" s="30"/>
      <c r="K13" s="30"/>
      <c r="L13" s="30"/>
      <c r="M13" s="17"/>
    </row>
    <row r="14" spans="1:13" x14ac:dyDescent="0.4">
      <c r="A14" s="17"/>
      <c r="B14" s="19"/>
    </row>
    <row r="15" spans="1:13" x14ac:dyDescent="0.4">
      <c r="B15" s="19" t="s">
        <v>73</v>
      </c>
      <c r="D15" s="21" t="s">
        <v>69</v>
      </c>
    </row>
    <row r="16" spans="1:13" x14ac:dyDescent="0.4">
      <c r="A16" s="13" t="s">
        <v>110</v>
      </c>
      <c r="B16" s="14" t="s">
        <v>86</v>
      </c>
      <c r="C16" s="6">
        <v>0.39583333333333331</v>
      </c>
      <c r="D16" s="25">
        <f>MAX(C8+TIME(0, C9, 0), C11 + TIME(0, C12, 0)) + TIME(0, C7, 0)</f>
        <v>0.3923611111111111</v>
      </c>
      <c r="E16" s="26"/>
    </row>
    <row r="17" spans="1:13" x14ac:dyDescent="0.4">
      <c r="A17" s="13" t="s">
        <v>94</v>
      </c>
      <c r="B17" s="14" t="s">
        <v>78</v>
      </c>
      <c r="C17" s="5">
        <v>2</v>
      </c>
      <c r="D17" s="27">
        <f>CEILING(C3/12, 1)</f>
        <v>2</v>
      </c>
      <c r="E17" s="24"/>
    </row>
    <row r="18" spans="1:13" x14ac:dyDescent="0.4">
      <c r="A18" s="13" t="s">
        <v>95</v>
      </c>
      <c r="B18" s="14" t="s">
        <v>76</v>
      </c>
      <c r="C18" s="5" t="s">
        <v>156</v>
      </c>
      <c r="D18" s="27" t="str">
        <f>IF(OR(MOD(C3, 2), C17 &gt; 2), "Yes", "No")</f>
        <v>No</v>
      </c>
      <c r="E18" s="24"/>
    </row>
    <row r="19" spans="1:13" x14ac:dyDescent="0.4">
      <c r="B19" s="14" t="s">
        <v>88</v>
      </c>
      <c r="C19" s="23">
        <f>IF(ISBLANK(C17), "N/A", IF(C18="Yes",1+_xlfn.CEILING.MATH((C3-1)/C17), _xlfn.CEILING.MATH(C3/C17)))</f>
        <v>10</v>
      </c>
      <c r="D19" s="16" t="s">
        <v>89</v>
      </c>
      <c r="E19" s="24"/>
      <c r="F19" s="15"/>
    </row>
    <row r="20" spans="1:13" x14ac:dyDescent="0.4">
      <c r="A20" s="13" t="s">
        <v>96</v>
      </c>
      <c r="B20" s="14" t="s">
        <v>77</v>
      </c>
      <c r="C20" s="5">
        <v>20</v>
      </c>
      <c r="D20" s="16">
        <v>17.5</v>
      </c>
      <c r="E20" s="22"/>
    </row>
    <row r="21" spans="1:13" x14ac:dyDescent="0.4">
      <c r="A21" s="13" t="s">
        <v>97</v>
      </c>
      <c r="B21" s="14" t="s">
        <v>80</v>
      </c>
      <c r="C21" s="5">
        <v>3</v>
      </c>
      <c r="D21" s="16">
        <v>3</v>
      </c>
    </row>
    <row r="22" spans="1:13" x14ac:dyDescent="0.4">
      <c r="A22" s="13" t="s">
        <v>98</v>
      </c>
      <c r="B22" s="14" t="s">
        <v>81</v>
      </c>
      <c r="C22" s="5">
        <v>10</v>
      </c>
      <c r="D22" s="16">
        <f>IF(OR(ISBLANK(C21), ISBLANK(C20)), "", MAX(C21*(20 - C20), 0))</f>
        <v>0</v>
      </c>
    </row>
    <row r="23" spans="1:13" x14ac:dyDescent="0.4">
      <c r="A23" s="13" t="s">
        <v>99</v>
      </c>
      <c r="B23" s="14" t="s">
        <v>82</v>
      </c>
      <c r="C23" s="6">
        <v>0.54166666666666663</v>
      </c>
      <c r="D23" s="18">
        <v>0.54166666666666663</v>
      </c>
    </row>
    <row r="24" spans="1:13" x14ac:dyDescent="0.4">
      <c r="A24" s="13" t="s">
        <v>100</v>
      </c>
      <c r="B24" s="14" t="s">
        <v>84</v>
      </c>
      <c r="C24" s="5">
        <v>30</v>
      </c>
      <c r="D24" s="16">
        <v>40</v>
      </c>
      <c r="K24" s="21"/>
      <c r="L24" s="21"/>
      <c r="M24" s="21"/>
    </row>
    <row r="25" spans="1:13" x14ac:dyDescent="0.4">
      <c r="B25" s="14" t="s">
        <v>87</v>
      </c>
      <c r="C25" s="20">
        <f>IF(ISBLANK(C17), "N/A", C16 + C19*((TIME(0, C20, 0) + TIME(0, C22, 0)/C21)))</f>
        <v>0.55787037037037035</v>
      </c>
      <c r="K25" s="21"/>
      <c r="L25" s="21"/>
      <c r="M25" s="21"/>
    </row>
    <row r="26" spans="1:13" x14ac:dyDescent="0.4">
      <c r="C26" s="20"/>
      <c r="K26" s="21"/>
      <c r="L26" s="21"/>
      <c r="M26" s="21"/>
    </row>
    <row r="27" spans="1:13" s="7" customFormat="1" x14ac:dyDescent="0.4">
      <c r="A27" s="11" t="s">
        <v>107</v>
      </c>
      <c r="B27" s="14" t="s">
        <v>64</v>
      </c>
      <c r="C27" s="9" t="s">
        <v>157</v>
      </c>
      <c r="D27" s="8" t="s">
        <v>158</v>
      </c>
      <c r="K27" s="8"/>
      <c r="L27" s="8"/>
      <c r="M27" s="8"/>
    </row>
    <row r="28" spans="1:13" s="7" customFormat="1" x14ac:dyDescent="0.4">
      <c r="A28" s="11" t="s">
        <v>108</v>
      </c>
      <c r="B28" s="14" t="s">
        <v>65</v>
      </c>
      <c r="C28" s="7" t="s">
        <v>159</v>
      </c>
      <c r="D28" s="8" t="s">
        <v>160</v>
      </c>
      <c r="K28" s="8"/>
      <c r="L28" s="8"/>
      <c r="M28" s="8"/>
    </row>
    <row r="29" spans="1:13" s="7" customFormat="1" x14ac:dyDescent="0.4">
      <c r="A29" s="11" t="s">
        <v>109</v>
      </c>
      <c r="B29" s="14" t="s">
        <v>70</v>
      </c>
      <c r="C29" s="7" t="s">
        <v>161</v>
      </c>
      <c r="D29" s="8" t="s">
        <v>162</v>
      </c>
      <c r="K29" s="8"/>
      <c r="L29" s="8"/>
      <c r="M29" s="8"/>
    </row>
    <row r="30" spans="1:13" s="15" customFormat="1" x14ac:dyDescent="0.4">
      <c r="A30" s="13"/>
      <c r="B30" s="14"/>
      <c r="D30" s="16"/>
      <c r="K30" s="16"/>
      <c r="L30" s="16"/>
      <c r="M30" s="16"/>
    </row>
    <row r="31" spans="1:13" s="15" customFormat="1" x14ac:dyDescent="0.4">
      <c r="A31" s="13"/>
      <c r="B31" s="14"/>
      <c r="D31" s="16"/>
      <c r="K31" s="16"/>
      <c r="L31" s="16"/>
      <c r="M31" s="16"/>
    </row>
    <row r="32" spans="1:13" x14ac:dyDescent="0.4">
      <c r="B32" s="19" t="s">
        <v>74</v>
      </c>
      <c r="I32" s="14"/>
      <c r="J32" s="15"/>
    </row>
    <row r="33" spans="1:13" x14ac:dyDescent="0.4">
      <c r="A33" s="13" t="s">
        <v>101</v>
      </c>
      <c r="B33" s="14" t="s">
        <v>90</v>
      </c>
      <c r="C33" s="5">
        <v>2</v>
      </c>
      <c r="D33" s="16">
        <f>IF(OR(ISBLANK(C17), COUNTBLANK(C20:C22)&lt;&gt;0),"",CEILING(3/2*C17*C38/(C20+C22/C21),1))</f>
        <v>2</v>
      </c>
      <c r="I33" s="14"/>
      <c r="J33" s="15"/>
    </row>
    <row r="34" spans="1:13" x14ac:dyDescent="0.4">
      <c r="A34" s="13" t="s">
        <v>102</v>
      </c>
      <c r="B34" s="14" t="s">
        <v>83</v>
      </c>
      <c r="C34" s="6">
        <v>0.54166666666666663</v>
      </c>
      <c r="D34" s="18">
        <v>0.54166666666666663</v>
      </c>
      <c r="I34" s="14"/>
      <c r="J34" s="15"/>
    </row>
    <row r="35" spans="1:13" x14ac:dyDescent="0.4">
      <c r="A35" s="13" t="s">
        <v>103</v>
      </c>
      <c r="B35" s="14" t="s">
        <v>85</v>
      </c>
      <c r="C35" s="5">
        <v>30</v>
      </c>
      <c r="D35" s="16">
        <v>30</v>
      </c>
    </row>
    <row r="37" spans="1:13" s="7" customFormat="1" ht="15.45" customHeight="1" x14ac:dyDescent="0.4">
      <c r="A37" s="11" t="s">
        <v>104</v>
      </c>
      <c r="B37" s="14" t="s">
        <v>71</v>
      </c>
      <c r="C37" s="7" t="s">
        <v>163</v>
      </c>
      <c r="D37" s="8">
        <v>1</v>
      </c>
      <c r="E37" s="7">
        <v>2</v>
      </c>
      <c r="F37" s="7">
        <v>3</v>
      </c>
      <c r="K37" s="8"/>
      <c r="L37" s="8"/>
      <c r="M37" s="8"/>
    </row>
    <row r="38" spans="1:13" s="7" customFormat="1" x14ac:dyDescent="0.4">
      <c r="A38" s="11" t="s">
        <v>105</v>
      </c>
      <c r="B38" s="14" t="s">
        <v>149</v>
      </c>
      <c r="C38" s="7">
        <v>10</v>
      </c>
      <c r="D38" s="7">
        <v>10</v>
      </c>
      <c r="E38" s="7">
        <v>10</v>
      </c>
      <c r="F38" s="7">
        <v>10</v>
      </c>
      <c r="K38" s="8"/>
      <c r="L38" s="8"/>
      <c r="M38" s="8"/>
    </row>
    <row r="39" spans="1:13" s="15" customFormat="1" x14ac:dyDescent="0.4">
      <c r="A39" s="13"/>
      <c r="B39" s="14" t="s">
        <v>150</v>
      </c>
      <c r="C39" s="15">
        <v>10</v>
      </c>
      <c r="D39" s="15">
        <f>IF(OR(ISBLANK(D37), ISBLANK(C39)), "", 10)</f>
        <v>10</v>
      </c>
      <c r="E39" s="15">
        <f>IF(OR(ISBLANK(E37), ISBLANK(D39)), "", 8)</f>
        <v>8</v>
      </c>
      <c r="F39" s="15">
        <f t="shared" ref="F39:L39" si="0">IF(OR(ISBLANK(F37), ISBLANK(E39)), "", 8)</f>
        <v>8</v>
      </c>
      <c r="G39" s="15" t="str">
        <f t="shared" si="0"/>
        <v/>
      </c>
      <c r="H39" s="15" t="str">
        <f t="shared" si="0"/>
        <v/>
      </c>
      <c r="I39" s="15" t="str">
        <f t="shared" si="0"/>
        <v/>
      </c>
      <c r="J39" s="15" t="str">
        <f t="shared" si="0"/>
        <v/>
      </c>
      <c r="K39" s="15" t="str">
        <f t="shared" si="0"/>
        <v/>
      </c>
      <c r="L39" s="15" t="str">
        <f t="shared" si="0"/>
        <v/>
      </c>
      <c r="M39" s="16"/>
    </row>
    <row r="41" spans="1:13" s="7" customFormat="1" x14ac:dyDescent="0.4">
      <c r="A41" s="11" t="s">
        <v>115</v>
      </c>
      <c r="B41" s="14" t="s">
        <v>114</v>
      </c>
      <c r="C41" s="9" t="s">
        <v>165</v>
      </c>
      <c r="D41" s="8" t="s">
        <v>164</v>
      </c>
      <c r="K41" s="8"/>
      <c r="L41" s="8"/>
      <c r="M41" s="8"/>
    </row>
    <row r="42" spans="1:13" s="12" customFormat="1" x14ac:dyDescent="0.4">
      <c r="A42" s="11" t="s">
        <v>151</v>
      </c>
      <c r="B42" s="14" t="s">
        <v>152</v>
      </c>
      <c r="C42" s="7" t="s">
        <v>166</v>
      </c>
      <c r="D42" s="8"/>
      <c r="K42" s="8"/>
      <c r="L42" s="8"/>
      <c r="M42" s="8"/>
    </row>
  </sheetData>
  <sheetProtection sheet="1" selectLockedCells="1"/>
  <mergeCells count="3">
    <mergeCell ref="E3:I3"/>
    <mergeCell ref="D6:L7"/>
    <mergeCell ref="C2:J2"/>
  </mergeCells>
  <conditionalFormatting sqref="A27:XFD29">
    <cfRule type="expression" dxfId="9" priority="9">
      <formula>AND(COLUMN() - 2 &gt; $C$17, NOT(ISBLANK(A27)))</formula>
    </cfRule>
    <cfRule type="expression" dxfId="8" priority="11">
      <formula>AND(COLUMN() &gt; 2, COLUMN()  - 3 &lt; $C$17, NOT(ISBLANK(A27)))</formula>
    </cfRule>
    <cfRule type="expression" dxfId="7" priority="12">
      <formula>AND(COLUMN() &gt; 2, COLUMN() - 3 &lt; $C$17)</formula>
    </cfRule>
  </conditionalFormatting>
  <conditionalFormatting sqref="A37:XFD37">
    <cfRule type="expression" dxfId="6" priority="8">
      <formula>AND(COLUMN() - 4 &lt; COUNTA(A$37:$C$37), COLUMN() &gt; 2)</formula>
    </cfRule>
  </conditionalFormatting>
  <conditionalFormatting sqref="A41:XFD41">
    <cfRule type="expression" dxfId="5" priority="5">
      <formula>AND(COLUMN() - 2 &gt; $C$33, NOT(ISBLANK(A41)))</formula>
    </cfRule>
    <cfRule type="expression" dxfId="4" priority="6">
      <formula>AND(COLUMN() &gt; 2, COLUMN()  - 3 &lt; $C$33, NOT(ISBLANK(A41)))</formula>
    </cfRule>
    <cfRule type="expression" dxfId="3" priority="7">
      <formula>AND(COLUMN() &gt; 2, COLUMN() - 3 &lt; $C$33)</formula>
    </cfRule>
  </conditionalFormatting>
  <conditionalFormatting sqref="A38:XFD38">
    <cfRule type="expression" dxfId="2" priority="4">
      <formula>AND(COLUMN() - 4 &lt; COUNTA(A$38:$C$38), COLUMN() &gt; 2, NOT(ISBLANK(A37)))</formula>
    </cfRule>
  </conditionalFormatting>
  <conditionalFormatting sqref="A42:XFD42">
    <cfRule type="expression" dxfId="1" priority="2">
      <formula>AND(COLUMN() &gt; 2, COLUMN() - 3 &lt; $C$33, NOT(ISBLANK(A41)))</formula>
    </cfRule>
    <cfRule type="expression" dxfId="0" priority="1">
      <formula>AND(OR(ISBLANK(A41), COLUMN() - 2 &gt; $C$33), NOT(ISBLANK(A42)))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157843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2019-04-20T23:13:28Z</dcterms:modified>
</cp:coreProperties>
</file>