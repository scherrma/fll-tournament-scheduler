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scheduler\"/>
    </mc:Choice>
  </mc:AlternateContent>
  <xr:revisionPtr revIDLastSave="0" documentId="13_ncr:1_{369668CD-D560-4622-B513-1147B1F2E557}" xr6:coauthVersionLast="45" xr6:coauthVersionMax="45" xr10:uidLastSave="{00000000-0000-0000-0000-000000000000}"/>
  <bookViews>
    <workbookView xWindow="39210" yWindow="-120" windowWidth="37710" windowHeight="21840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8" i="26" l="1"/>
  <c r="D19" i="26"/>
  <c r="D25" i="26" l="1"/>
  <c r="C36" i="26" l="1"/>
  <c r="D36" i="26" l="1"/>
  <c r="E36" i="26" s="1"/>
  <c r="F36" i="26" s="1"/>
  <c r="G36" i="26" s="1"/>
  <c r="H36" i="26" s="1"/>
  <c r="I36" i="26" s="1"/>
  <c r="J36" i="26" s="1"/>
  <c r="K36" i="26" s="1"/>
  <c r="C3" i="26" l="1"/>
  <c r="C22" i="26" s="1"/>
  <c r="A26" i="26" s="1"/>
  <c r="C26" i="26" s="1"/>
  <c r="A37" i="26" l="1"/>
  <c r="A43" i="26" s="1"/>
  <c r="D21" i="26"/>
  <c r="D20" i="26"/>
  <c r="A3" i="26" l="1"/>
  <c r="J3" i="26" s="1"/>
</calcChain>
</file>

<file path=xl/sharedStrings.xml><?xml version="1.0" encoding="utf-8"?>
<sst xmlns="http://schemas.openxmlformats.org/spreadsheetml/2006/main" count="266" uniqueCount="260">
  <si>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</si>
  <si>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</si>
  <si>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</si>
  <si>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</si>
  <si>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</si>
  <si>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</si>
  <si>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</si>
  <si>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</si>
  <si>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</si>
  <si>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</si>
  <si>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</si>
  <si>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</si>
  <si>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</si>
  <si>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</si>
  <si>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</si>
  <si>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</si>
  <si>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</si>
  <si>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</si>
  <si>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</si>
  <si>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</si>
  <si>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</si>
  <si>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</si>
  <si>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</si>
  <si>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</si>
  <si>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</si>
  <si>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</si>
  <si>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</si>
  <si>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</si>
  <si>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</si>
  <si>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</si>
  <si>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</si>
  <si>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</si>
  <si>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</si>
  <si>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</si>
  <si>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</si>
  <si>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</si>
  <si>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</si>
  <si>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</si>
  <si>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</si>
  <si>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</si>
  <si>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</si>
  <si>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</si>
  <si>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</si>
  <si>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</si>
  <si>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</si>
  <si>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</si>
  <si>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</si>
  <si>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</si>
  <si>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</si>
  <si>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</si>
  <si>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</si>
  <si>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</si>
  <si>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</si>
  <si>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</si>
  <si>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</si>
  <si>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</si>
  <si>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</si>
  <si>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</si>
  <si>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</si>
  <si>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</si>
  <si>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</si>
  <si>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</si>
  <si>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</si>
  <si>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</si>
  <si>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</si>
  <si>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</si>
  <si>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</si>
  <si>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</si>
  <si>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</si>
  <si>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</si>
  <si>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</si>
  <si>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</si>
  <si>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</si>
  <si>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</si>
  <si>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</si>
  <si>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</si>
  <si>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</si>
  <si>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</si>
  <si>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</si>
  <si>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</si>
  <si>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</si>
  <si>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</si>
  <si>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</si>
  <si>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</si>
  <si>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</si>
  <si>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</si>
  <si>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</si>
  <si>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</si>
  <si>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</si>
  <si>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</si>
  <si>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</si>
  <si>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</si>
  <si>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</si>
  <si>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</si>
  <si>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</si>
  <si>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</si>
  <si>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</si>
  <si>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</si>
  <si>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</si>
  <si>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</si>
  <si>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</si>
  <si>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</si>
  <si>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</si>
  <si>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</si>
  <si>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</si>
  <si>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</si>
  <si>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</si>
  <si>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</si>
  <si>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</si>
  <si>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</si>
  <si>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</si>
  <si>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</si>
  <si>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</si>
  <si>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</si>
  <si>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</si>
  <si>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</si>
  <si>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</si>
  <si>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</si>
  <si>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</si>
  <si>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</si>
  <si>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</si>
  <si>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</si>
  <si>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</si>
  <si>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</si>
  <si>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</si>
  <si>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</si>
  <si>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</si>
  <si>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</si>
  <si>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</si>
  <si>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</si>
  <si>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</si>
  <si>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</si>
  <si>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</si>
  <si>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</si>
  <si>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</si>
  <si>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</si>
  <si>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</si>
  <si>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</si>
  <si>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</si>
  <si>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</si>
  <si>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Yes</t>
  </si>
  <si>
    <t>No</t>
  </si>
  <si>
    <t>Disabled</t>
  </si>
  <si>
    <t>Coaches' meeting duration (min)</t>
  </si>
  <si>
    <t>lunch_duration</t>
  </si>
  <si>
    <t>lunch_earliest</t>
  </si>
  <si>
    <t>lunch_latest</t>
  </si>
  <si>
    <t>t_stagger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</si>
  <si>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</si>
  <si>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</si>
  <si>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</si>
  <si>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</si>
  <si>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</si>
  <si>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</si>
  <si>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</si>
  <si>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</si>
  <si>
    <t>Table Round Abbrevation (eg, 'Practice Round' -&gt; 'P'; optional)</t>
  </si>
  <si>
    <t>t_round_abbreviations</t>
  </si>
  <si>
    <t>Time between team judging sessions (min)</t>
  </si>
  <si>
    <t>Names of the Table Round</t>
  </si>
  <si>
    <t>Division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</si>
  <si>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</si>
  <si>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</si>
  <si>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</si>
  <si>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</si>
  <si>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</si>
  <si>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</si>
  <si>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</si>
  <si>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</si>
  <si>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</si>
  <si>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</si>
  <si>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</si>
  <si>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</si>
  <si>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</si>
  <si>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</si>
  <si>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</si>
  <si>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</si>
  <si>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</si>
  <si>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</si>
  <si>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</si>
  <si>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</si>
  <si>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</si>
  <si>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</si>
  <si>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</si>
  <si>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</si>
  <si>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</si>
  <si>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</si>
  <si>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</si>
  <si>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</si>
  <si>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</si>
  <si>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</si>
  <si>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</si>
  <si>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</si>
  <si>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</si>
  <si>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</si>
  <si>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</si>
  <si>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</si>
  <si>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</si>
  <si>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</si>
  <si>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</si>
  <si>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</si>
  <si>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</si>
  <si>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</si>
  <si>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</si>
  <si>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</si>
  <si>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</si>
  <si>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</si>
  <si>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</si>
  <si>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</si>
  <si>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</si>
  <si>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</si>
  <si>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</si>
  <si>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</si>
  <si>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</si>
  <si>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</si>
  <si>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</si>
  <si>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</si>
  <si>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</si>
  <si>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</si>
  <si>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</si>
  <si>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</si>
  <si>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</si>
  <si>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</si>
  <si>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</si>
  <si>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</si>
  <si>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</si>
  <si>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</si>
  <si>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</si>
  <si>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</si>
  <si>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</si>
  <si>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</si>
  <si>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</si>
  <si>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</si>
  <si>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</si>
  <si>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</si>
  <si>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</si>
  <si>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</si>
  <si>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</si>
  <si>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</si>
  <si>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</si>
  <si>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Fantastic Ants 0</t>
  </si>
  <si>
    <t>test</t>
  </si>
  <si>
    <t>gym</t>
  </si>
  <si>
    <t>registration</t>
  </si>
  <si>
    <t>P1</t>
  </si>
  <si>
    <t>P2</t>
  </si>
  <si>
    <t>P3</t>
  </si>
  <si>
    <t>RD1</t>
  </si>
  <si>
    <t>RD2</t>
  </si>
  <si>
    <t>RD3</t>
  </si>
  <si>
    <t>CV1</t>
  </si>
  <si>
    <t>CV2</t>
  </si>
  <si>
    <t>CV3</t>
  </si>
  <si>
    <t>Practice</t>
  </si>
  <si>
    <t>1</t>
  </si>
  <si>
    <t>2</t>
  </si>
  <si>
    <t>3</t>
  </si>
  <si>
    <t>P</t>
  </si>
  <si>
    <t>Red</t>
  </si>
  <si>
    <t>White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</si>
</sst>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7">
    <xf numFmtId="0" fontId="0" fillId="0" borderId="0" xfId="0"/>
    <xf numFmtId="0" fontId="0" fillId="2" borderId="2" xfId="0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164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164" fontId="0" fillId="3" borderId="0" xfId="0" applyNumberFormat="1" applyFill="1" applyAlignment="1" applyProtection="1">
      <alignment horizontal="right" vertical="center" indent="1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25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7</xdr:row>
          <xdr:rowOff>142875</xdr:rowOff>
        </xdr:from>
        <xdr:to>
          <xdr:col>9</xdr:col>
          <xdr:colOff>1057275</xdr:colOff>
          <xdr:row>11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yeguls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44"/>
  <sheetViews>
    <sheetView workbookViewId="0">
      <selection activeCell="C9" sqref="C9"/>
    </sheetView>
  </sheetViews>
  <sheetFormatPr defaultColWidth="9.28515625" defaultRowHeight="15" x14ac:dyDescent="0.25"/>
  <cols>
    <col min="1" max="1" width="13.7109375" style="34" bestFit="1" customWidth="1"/>
    <col min="2" max="2" width="8.140625" style="34" bestFit="1" customWidth="1"/>
    <col min="3" max="3" width="31.5703125" style="34" bestFit="1" customWidth="1"/>
    <col min="4" max="4" width="18" style="34" bestFit="1" customWidth="1"/>
    <col min="5" max="5" width="31.5703125" style="34" bestFit="1" customWidth="1"/>
    <col min="6" max="6" width="14.5703125" style="34" bestFit="1" customWidth="1"/>
    <col min="7" max="7" width="19.5703125" style="34" bestFit="1" customWidth="1"/>
    <col min="8" max="8" width="10.85546875" style="34" customWidth="1"/>
    <col min="9" max="9" width="11" style="34" customWidth="1"/>
    <col min="10" max="10" width="9.28515625" style="34" customWidth="1"/>
    <col min="11" max="11" width="21.85546875" style="34" customWidth="1"/>
    <col min="12" max="12" width="26.42578125" style="34" customWidth="1"/>
    <col min="13" max="13" width="28.7109375" style="34" customWidth="1"/>
    <col min="14" max="16384" width="9.28515625" style="34"/>
  </cols>
  <sheetData>
    <row r="1" spans="1:13" x14ac:dyDescent="0.25">
      <c r="A1" s="35" t="s">
        <v>0</v>
      </c>
      <c r="B1" s="35" t="s">
        <v>160</v>
      </c>
      <c r="C1" s="35" t="s">
        <v>1</v>
      </c>
      <c r="D1" s="35" t="s">
        <v>2</v>
      </c>
      <c r="E1" s="35" t="s">
        <v>105</v>
      </c>
      <c r="F1" s="35" t="s">
        <v>3</v>
      </c>
      <c r="G1" s="32"/>
      <c r="H1" s="32"/>
      <c r="I1" s="32"/>
      <c r="J1" s="32"/>
      <c r="K1" s="32"/>
      <c r="L1" s="35"/>
      <c r="M1" s="35"/>
    </row>
    <row r="2" spans="1:13" x14ac:dyDescent="0.25">
      <c r="A2" s="34">
        <v>16935</v>
      </c>
      <c r="B2" s="34">
        <v>2</v>
      </c>
      <c r="C2" s="33" t="s">
        <v>6</v>
      </c>
      <c r="D2" s="33" t="s">
        <v>23</v>
      </c>
      <c r="E2" s="36" t="s">
        <v>106</v>
      </c>
      <c r="F2" s="33" t="s">
        <v>42</v>
      </c>
      <c r="G2" s="32"/>
      <c r="H2" s="32"/>
      <c r="I2" s="32"/>
      <c r="J2" s="32"/>
      <c r="K2" s="32"/>
      <c r="L2" s="32"/>
    </row>
    <row r="3" spans="1:13" x14ac:dyDescent="0.25">
      <c r="A3" s="34">
        <v>2463</v>
      </c>
      <c r="B3" s="34">
        <v>2</v>
      </c>
      <c r="C3" s="33" t="s">
        <v>7</v>
      </c>
      <c r="D3" s="33" t="s">
        <v>24</v>
      </c>
      <c r="E3" s="36" t="s">
        <v>107</v>
      </c>
      <c r="F3" s="33" t="s">
        <v>43</v>
      </c>
      <c r="G3" s="32"/>
      <c r="H3" s="32"/>
      <c r="I3" s="32"/>
      <c r="J3" s="32"/>
      <c r="K3" s="32"/>
      <c r="L3" s="32"/>
    </row>
    <row r="4" spans="1:13" x14ac:dyDescent="0.25">
      <c r="A4" s="34">
        <v>33754</v>
      </c>
      <c r="B4" s="34">
        <v>1</v>
      </c>
      <c r="C4" s="33" t="s">
        <v>9</v>
      </c>
      <c r="D4" s="33" t="s">
        <v>25</v>
      </c>
      <c r="E4" s="36" t="s">
        <v>108</v>
      </c>
      <c r="F4" s="33" t="s">
        <v>44</v>
      </c>
      <c r="G4" s="32"/>
      <c r="H4" s="32"/>
      <c r="I4" s="32"/>
      <c r="J4" s="32"/>
      <c r="K4" s="32"/>
      <c r="L4" s="32"/>
    </row>
    <row r="5" spans="1:13" x14ac:dyDescent="0.25">
      <c r="A5" s="34">
        <v>20996</v>
      </c>
      <c r="B5" s="34">
        <v>1</v>
      </c>
      <c r="C5" s="33" t="s">
        <v>8</v>
      </c>
      <c r="D5" s="33" t="s">
        <v>26</v>
      </c>
      <c r="E5" s="36" t="s">
        <v>109</v>
      </c>
      <c r="F5" s="33" t="s">
        <v>45</v>
      </c>
      <c r="G5" s="32"/>
      <c r="H5" s="32"/>
      <c r="I5" s="32"/>
      <c r="J5" s="32"/>
      <c r="K5" s="32"/>
      <c r="L5" s="32"/>
    </row>
    <row r="6" spans="1:13" x14ac:dyDescent="0.25">
      <c r="A6" s="34">
        <v>10666</v>
      </c>
      <c r="B6" s="34">
        <v>2</v>
      </c>
      <c r="C6" s="33" t="s">
        <v>10</v>
      </c>
      <c r="D6" s="33" t="s">
        <v>27</v>
      </c>
      <c r="E6" s="36" t="s">
        <v>110</v>
      </c>
      <c r="F6" s="33" t="s">
        <v>46</v>
      </c>
      <c r="G6" s="32"/>
      <c r="H6" s="32"/>
      <c r="I6" s="32"/>
      <c r="J6" s="32"/>
      <c r="K6" s="32"/>
      <c r="L6" s="32"/>
    </row>
    <row r="7" spans="1:13" x14ac:dyDescent="0.25">
      <c r="A7" s="34">
        <v>28868</v>
      </c>
      <c r="B7" s="34">
        <v>1</v>
      </c>
      <c r="C7" s="33" t="s">
        <v>21</v>
      </c>
      <c r="D7" s="33" t="s">
        <v>28</v>
      </c>
      <c r="E7" s="36" t="s">
        <v>111</v>
      </c>
      <c r="F7" s="33" t="s">
        <v>47</v>
      </c>
      <c r="G7" s="32"/>
      <c r="H7" s="32"/>
      <c r="I7" s="32"/>
      <c r="J7" s="32"/>
      <c r="K7" s="32"/>
      <c r="L7" s="32"/>
    </row>
    <row r="8" spans="1:13" x14ac:dyDescent="0.25">
      <c r="A8" s="34">
        <v>24652</v>
      </c>
      <c r="B8" s="34">
        <v>2</v>
      </c>
      <c r="C8" s="33" t="s">
        <v>11</v>
      </c>
      <c r="D8" s="33" t="s">
        <v>29</v>
      </c>
      <c r="E8" s="36" t="s">
        <v>112</v>
      </c>
      <c r="F8" s="33" t="s">
        <v>48</v>
      </c>
      <c r="G8" s="32"/>
      <c r="H8" s="32"/>
      <c r="I8" s="32"/>
      <c r="J8" s="32"/>
      <c r="K8" s="32"/>
      <c r="L8" s="32"/>
    </row>
    <row r="9" spans="1:13" x14ac:dyDescent="0.25">
      <c r="A9" s="34">
        <v>31946</v>
      </c>
      <c r="B9" s="34">
        <v>2</v>
      </c>
      <c r="C9" s="33" t="s">
        <v>12</v>
      </c>
      <c r="D9" s="33" t="s">
        <v>30</v>
      </c>
      <c r="E9" s="36" t="s">
        <v>113</v>
      </c>
      <c r="F9" s="33" t="s">
        <v>49</v>
      </c>
      <c r="G9" s="32"/>
      <c r="H9" s="32"/>
      <c r="I9" s="32"/>
      <c r="J9" s="32"/>
      <c r="K9" s="32"/>
      <c r="L9" s="32"/>
    </row>
    <row r="10" spans="1:13" x14ac:dyDescent="0.25">
      <c r="A10" s="34">
        <v>1542</v>
      </c>
      <c r="B10" s="34">
        <v>1</v>
      </c>
      <c r="C10" s="33" t="s">
        <v>13</v>
      </c>
      <c r="D10" s="33" t="s">
        <v>31</v>
      </c>
      <c r="E10" s="36" t="s">
        <v>114</v>
      </c>
      <c r="F10" s="33" t="s">
        <v>50</v>
      </c>
      <c r="G10" s="32"/>
      <c r="H10" s="32"/>
      <c r="I10" s="32"/>
      <c r="J10" s="32"/>
      <c r="K10" s="32"/>
      <c r="L10" s="32"/>
    </row>
    <row r="11" spans="1:13" x14ac:dyDescent="0.25">
      <c r="A11" s="34">
        <v>49523</v>
      </c>
      <c r="B11" s="34">
        <v>1</v>
      </c>
      <c r="C11" s="33" t="s">
        <v>14</v>
      </c>
      <c r="D11" s="33" t="s">
        <v>32</v>
      </c>
      <c r="E11" s="36" t="s">
        <v>115</v>
      </c>
      <c r="F11" s="33" t="s">
        <v>51</v>
      </c>
      <c r="G11" s="32"/>
      <c r="H11" s="32"/>
      <c r="I11" s="32"/>
      <c r="J11" s="32"/>
      <c r="K11" s="32"/>
      <c r="L11" s="32"/>
    </row>
    <row r="12" spans="1:13" x14ac:dyDescent="0.25">
      <c r="A12" s="34">
        <v>19885</v>
      </c>
      <c r="B12" s="34">
        <v>1</v>
      </c>
      <c r="C12" s="33" t="s">
        <v>15</v>
      </c>
      <c r="D12" s="33" t="s">
        <v>33</v>
      </c>
      <c r="E12" s="36" t="s">
        <v>116</v>
      </c>
      <c r="F12" s="33" t="s">
        <v>52</v>
      </c>
      <c r="G12" s="32"/>
      <c r="H12" s="32"/>
      <c r="I12" s="32"/>
      <c r="J12" s="32"/>
      <c r="K12" s="32"/>
      <c r="L12" s="32"/>
    </row>
    <row r="13" spans="1:13" x14ac:dyDescent="0.25">
      <c r="A13" s="34">
        <v>41793</v>
      </c>
      <c r="B13" s="34">
        <v>1</v>
      </c>
      <c r="C13" s="33" t="s">
        <v>16</v>
      </c>
      <c r="D13" s="33" t="s">
        <v>34</v>
      </c>
      <c r="E13" s="36" t="s">
        <v>117</v>
      </c>
      <c r="F13" s="33" t="s">
        <v>53</v>
      </c>
      <c r="G13" s="32"/>
      <c r="H13" s="32"/>
      <c r="I13" s="32"/>
      <c r="J13" s="32"/>
      <c r="K13" s="32"/>
      <c r="L13" s="32"/>
    </row>
    <row r="14" spans="1:13" x14ac:dyDescent="0.25">
      <c r="A14" s="34">
        <v>42066</v>
      </c>
      <c r="B14" s="34">
        <v>2</v>
      </c>
      <c r="C14" s="33" t="s">
        <v>4</v>
      </c>
      <c r="D14" s="33" t="s">
        <v>35</v>
      </c>
      <c r="E14" s="36" t="s">
        <v>118</v>
      </c>
      <c r="F14" s="33" t="s">
        <v>54</v>
      </c>
      <c r="G14" s="32"/>
      <c r="H14" s="32"/>
      <c r="I14" s="32"/>
      <c r="J14" s="32"/>
      <c r="K14" s="32"/>
      <c r="L14" s="32"/>
    </row>
    <row r="15" spans="1:13" x14ac:dyDescent="0.25">
      <c r="A15" s="34">
        <v>2932</v>
      </c>
      <c r="B15" s="34">
        <v>1</v>
      </c>
      <c r="C15" s="33" t="s">
        <v>17</v>
      </c>
      <c r="D15" s="33" t="s">
        <v>36</v>
      </c>
      <c r="E15" s="36" t="s">
        <v>119</v>
      </c>
      <c r="F15" s="33" t="s">
        <v>55</v>
      </c>
      <c r="G15" s="32"/>
      <c r="H15" s="32"/>
      <c r="I15" s="32"/>
      <c r="J15" s="32"/>
      <c r="K15" s="32"/>
      <c r="L15" s="32"/>
    </row>
    <row r="16" spans="1:13" x14ac:dyDescent="0.25">
      <c r="A16" s="34">
        <v>505</v>
      </c>
      <c r="B16" s="34">
        <v>1</v>
      </c>
      <c r="C16" s="33" t="s">
        <v>22</v>
      </c>
      <c r="D16" s="33" t="s">
        <v>37</v>
      </c>
      <c r="E16" s="36" t="s">
        <v>120</v>
      </c>
      <c r="F16" s="33" t="s">
        <v>56</v>
      </c>
      <c r="G16" s="32"/>
      <c r="H16" s="32"/>
      <c r="I16" s="32"/>
      <c r="J16" s="32"/>
      <c r="K16" s="32"/>
      <c r="L16" s="32"/>
    </row>
    <row r="17" spans="1:10" x14ac:dyDescent="0.25">
      <c r="A17" s="34">
        <v>3036</v>
      </c>
      <c r="B17" s="34">
        <v>1</v>
      </c>
      <c r="C17" s="33" t="s">
        <v>20</v>
      </c>
      <c r="D17" s="33" t="s">
        <v>38</v>
      </c>
      <c r="E17" s="36" t="s">
        <v>121</v>
      </c>
      <c r="F17" s="33" t="s">
        <v>57</v>
      </c>
      <c r="G17" s="32"/>
      <c r="H17" s="32"/>
      <c r="I17" s="32"/>
    </row>
    <row r="18" spans="1:10" x14ac:dyDescent="0.25">
      <c r="A18" s="34">
        <v>46007</v>
      </c>
      <c r="B18" s="34">
        <v>2</v>
      </c>
      <c r="C18" s="33" t="s">
        <v>5</v>
      </c>
      <c r="D18" s="33" t="s">
        <v>39</v>
      </c>
      <c r="E18" s="36" t="s">
        <v>122</v>
      </c>
      <c r="F18" s="33" t="s">
        <v>58</v>
      </c>
      <c r="G18" s="32"/>
      <c r="H18" s="32"/>
      <c r="I18" s="32"/>
    </row>
    <row r="19" spans="1:10" x14ac:dyDescent="0.25">
      <c r="A19" s="34">
        <v>23932</v>
      </c>
      <c r="B19" s="34">
        <v>1</v>
      </c>
      <c r="C19" s="33" t="s">
        <v>19</v>
      </c>
      <c r="D19" s="33" t="s">
        <v>40</v>
      </c>
      <c r="E19" s="36" t="s">
        <v>123</v>
      </c>
      <c r="F19" s="33" t="s">
        <v>59</v>
      </c>
      <c r="G19" s="32"/>
      <c r="H19" s="32"/>
      <c r="I19" s="32"/>
    </row>
    <row r="20" spans="1:10" s="32" customFormat="1" x14ac:dyDescent="0.25">
      <c r="A20" s="34">
        <v>38561</v>
      </c>
      <c r="B20" s="34">
        <v>1</v>
      </c>
      <c r="C20" s="34" t="s">
        <v>61</v>
      </c>
      <c r="D20" s="34" t="s">
        <v>62</v>
      </c>
      <c r="E20" s="36" t="s">
        <v>124</v>
      </c>
      <c r="F20" s="34" t="s">
        <v>63</v>
      </c>
      <c r="G20" s="34"/>
      <c r="H20" s="34"/>
      <c r="I20" s="34"/>
      <c r="J20" s="34"/>
    </row>
    <row r="21" spans="1:10" x14ac:dyDescent="0.25">
      <c r="A21" s="34">
        <v>31303</v>
      </c>
      <c r="B21" s="34">
        <v>1</v>
      </c>
      <c r="C21" s="33" t="s">
        <v>18</v>
      </c>
      <c r="D21" s="33" t="s">
        <v>41</v>
      </c>
      <c r="E21" s="36" t="s">
        <v>125</v>
      </c>
      <c r="F21" s="33" t="s">
        <v>60</v>
      </c>
      <c r="G21" s="32"/>
      <c r="H21" s="32"/>
      <c r="I21" s="32"/>
    </row>
    <row r="22" spans="1:10" x14ac:dyDescent="0.25">
      <c r="A22" s="34">
        <v>15289</v>
      </c>
      <c r="B22" s="34">
        <v>1</v>
      </c>
      <c r="C22" s="34" t="s">
        <v>161</v>
      </c>
      <c r="D22" s="34" t="s">
        <v>162</v>
      </c>
      <c r="E22" s="36" t="s">
        <v>163</v>
      </c>
      <c r="F22" s="34" t="s">
        <v>164</v>
      </c>
      <c r="G22" s="32"/>
      <c r="H22" s="32"/>
      <c r="I22" s="32"/>
    </row>
    <row r="23" spans="1:10" x14ac:dyDescent="0.25">
      <c r="A23" s="34">
        <v>26167</v>
      </c>
      <c r="B23" s="34">
        <v>2</v>
      </c>
      <c r="C23" s="34" t="s">
        <v>165</v>
      </c>
      <c r="D23" s="34" t="s">
        <v>166</v>
      </c>
      <c r="E23" s="36" t="s">
        <v>167</v>
      </c>
      <c r="F23" s="34" t="s">
        <v>168</v>
      </c>
      <c r="G23" s="32"/>
      <c r="H23" s="32"/>
      <c r="I23" s="32"/>
    </row>
    <row r="24" spans="1:10" x14ac:dyDescent="0.25">
      <c r="A24" s="34">
        <v>3539</v>
      </c>
      <c r="B24" s="34">
        <v>1</v>
      </c>
      <c r="C24" s="34" t="s">
        <v>169</v>
      </c>
      <c r="D24" s="34" t="s">
        <v>170</v>
      </c>
      <c r="E24" s="36" t="s">
        <v>171</v>
      </c>
      <c r="F24" s="34" t="s">
        <v>172</v>
      </c>
      <c r="G24" s="32"/>
      <c r="H24" s="32"/>
      <c r="I24" s="32"/>
    </row>
    <row r="25" spans="1:10" x14ac:dyDescent="0.25">
      <c r="A25" s="34">
        <v>42650</v>
      </c>
      <c r="B25" s="34">
        <v>1</v>
      </c>
      <c r="C25" s="34" t="s">
        <v>173</v>
      </c>
      <c r="D25" s="34" t="s">
        <v>174</v>
      </c>
      <c r="E25" s="36" t="s">
        <v>175</v>
      </c>
      <c r="F25" s="34" t="s">
        <v>176</v>
      </c>
      <c r="G25" s="32"/>
      <c r="H25" s="32"/>
      <c r="I25" s="32"/>
    </row>
    <row r="26" spans="1:10" x14ac:dyDescent="0.25">
      <c r="A26" s="34">
        <v>1313</v>
      </c>
      <c r="B26" s="34">
        <v>2</v>
      </c>
      <c r="C26" s="34" t="s">
        <v>177</v>
      </c>
      <c r="D26" s="34" t="s">
        <v>178</v>
      </c>
      <c r="E26" s="36" t="s">
        <v>179</v>
      </c>
      <c r="F26" s="34" t="s">
        <v>172</v>
      </c>
      <c r="G26" s="32"/>
      <c r="H26" s="32"/>
      <c r="I26" s="32"/>
    </row>
    <row r="27" spans="1:10" x14ac:dyDescent="0.25">
      <c r="A27" s="34">
        <v>25167</v>
      </c>
      <c r="B27" s="34">
        <v>1</v>
      </c>
      <c r="C27" s="34" t="s">
        <v>180</v>
      </c>
      <c r="D27" s="34" t="s">
        <v>181</v>
      </c>
      <c r="E27" s="36" t="s">
        <v>182</v>
      </c>
      <c r="F27" s="34" t="s">
        <v>183</v>
      </c>
      <c r="G27" s="32"/>
      <c r="H27" s="32"/>
      <c r="I27" s="32"/>
    </row>
    <row r="28" spans="1:10" x14ac:dyDescent="0.25">
      <c r="A28" s="34">
        <v>11795</v>
      </c>
      <c r="B28" s="34">
        <v>1</v>
      </c>
      <c r="C28" s="34" t="s">
        <v>184</v>
      </c>
      <c r="D28" s="34" t="s">
        <v>185</v>
      </c>
      <c r="E28" s="36" t="s">
        <v>186</v>
      </c>
      <c r="F28" s="34" t="s">
        <v>187</v>
      </c>
      <c r="G28" s="32"/>
      <c r="H28" s="32"/>
      <c r="I28" s="32"/>
    </row>
    <row r="29" spans="1:10" x14ac:dyDescent="0.25">
      <c r="A29" s="34">
        <v>45977</v>
      </c>
      <c r="B29" s="34">
        <v>1</v>
      </c>
      <c r="C29" s="34" t="s">
        <v>188</v>
      </c>
      <c r="D29" s="34" t="s">
        <v>189</v>
      </c>
      <c r="E29" s="36" t="s">
        <v>190</v>
      </c>
      <c r="F29" s="34" t="s">
        <v>191</v>
      </c>
      <c r="G29" s="32"/>
      <c r="H29" s="32"/>
      <c r="I29" s="32"/>
    </row>
    <row r="30" spans="1:10" x14ac:dyDescent="0.25">
      <c r="A30" s="34">
        <v>45822</v>
      </c>
      <c r="B30" s="34">
        <v>1</v>
      </c>
      <c r="C30" s="34" t="s">
        <v>192</v>
      </c>
      <c r="D30" s="34" t="s">
        <v>193</v>
      </c>
      <c r="E30" s="36" t="s">
        <v>194</v>
      </c>
      <c r="F30" s="34" t="s">
        <v>195</v>
      </c>
      <c r="G30" s="32"/>
      <c r="H30" s="32"/>
      <c r="I30" s="32"/>
    </row>
    <row r="31" spans="1:10" x14ac:dyDescent="0.25">
      <c r="A31" s="34">
        <v>24199</v>
      </c>
      <c r="B31" s="34">
        <v>1</v>
      </c>
      <c r="C31" s="34" t="s">
        <v>196</v>
      </c>
      <c r="D31" s="34" t="s">
        <v>197</v>
      </c>
      <c r="E31" s="36" t="s">
        <v>198</v>
      </c>
      <c r="F31" s="34" t="s">
        <v>199</v>
      </c>
      <c r="G31" s="32"/>
      <c r="H31" s="32"/>
      <c r="I31" s="32"/>
    </row>
    <row r="32" spans="1:10" x14ac:dyDescent="0.25">
      <c r="A32" s="34">
        <v>32148</v>
      </c>
      <c r="B32" s="34">
        <v>2</v>
      </c>
      <c r="C32" s="34" t="s">
        <v>200</v>
      </c>
      <c r="D32" s="34" t="s">
        <v>201</v>
      </c>
      <c r="E32" s="36" t="s">
        <v>202</v>
      </c>
      <c r="F32" s="34" t="s">
        <v>203</v>
      </c>
      <c r="G32" s="32"/>
      <c r="H32" s="32"/>
      <c r="I32" s="32"/>
    </row>
    <row r="33" spans="1:7" x14ac:dyDescent="0.25">
      <c r="A33" s="34">
        <v>18274</v>
      </c>
      <c r="B33" s="34">
        <v>1</v>
      </c>
      <c r="C33" s="34" t="s">
        <v>204</v>
      </c>
      <c r="D33" s="34" t="s">
        <v>205</v>
      </c>
      <c r="E33" s="36" t="s">
        <v>206</v>
      </c>
      <c r="F33" s="34" t="s">
        <v>207</v>
      </c>
      <c r="G33" s="32"/>
    </row>
    <row r="34" spans="1:7" x14ac:dyDescent="0.25">
      <c r="A34" s="34">
        <v>27828</v>
      </c>
      <c r="B34" s="34">
        <v>2</v>
      </c>
      <c r="C34" s="34" t="s">
        <v>208</v>
      </c>
      <c r="D34" s="34" t="s">
        <v>209</v>
      </c>
      <c r="E34" s="36" t="s">
        <v>210</v>
      </c>
      <c r="F34" s="34" t="s">
        <v>211</v>
      </c>
      <c r="G34" s="32"/>
    </row>
    <row r="35" spans="1:7" x14ac:dyDescent="0.25">
      <c r="A35" s="34">
        <v>8778</v>
      </c>
      <c r="B35" s="34">
        <v>1</v>
      </c>
      <c r="C35" s="34" t="s">
        <v>212</v>
      </c>
      <c r="D35" s="34" t="s">
        <v>213</v>
      </c>
      <c r="E35" s="36" t="s">
        <v>214</v>
      </c>
      <c r="F35" s="34" t="s">
        <v>215</v>
      </c>
      <c r="G35" s="32"/>
    </row>
    <row r="36" spans="1:7" x14ac:dyDescent="0.25">
      <c r="A36" s="34">
        <v>46561</v>
      </c>
      <c r="B36" s="34">
        <v>1</v>
      </c>
      <c r="C36" s="34" t="s">
        <v>216</v>
      </c>
      <c r="D36" s="34" t="s">
        <v>217</v>
      </c>
      <c r="E36" s="36" t="s">
        <v>218</v>
      </c>
      <c r="F36" s="34" t="s">
        <v>219</v>
      </c>
      <c r="G36" s="32"/>
    </row>
    <row r="37" spans="1:7" x14ac:dyDescent="0.25">
      <c r="A37" s="34">
        <v>24436</v>
      </c>
      <c r="B37" s="34">
        <v>1</v>
      </c>
      <c r="C37" s="34" t="s">
        <v>220</v>
      </c>
      <c r="D37" s="34" t="s">
        <v>221</v>
      </c>
      <c r="E37" s="36" t="s">
        <v>222</v>
      </c>
      <c r="F37" s="34" t="s">
        <v>223</v>
      </c>
      <c r="G37" s="32"/>
    </row>
    <row r="38" spans="1:7" x14ac:dyDescent="0.25">
      <c r="A38" s="34">
        <v>48988</v>
      </c>
      <c r="B38" s="34">
        <v>1</v>
      </c>
      <c r="C38" s="34" t="s">
        <v>224</v>
      </c>
      <c r="D38" s="34" t="s">
        <v>225</v>
      </c>
      <c r="E38" s="36" t="s">
        <v>226</v>
      </c>
      <c r="F38" s="34" t="s">
        <v>227</v>
      </c>
      <c r="G38" s="32"/>
    </row>
    <row r="39" spans="1:7" x14ac:dyDescent="0.25">
      <c r="A39" s="34">
        <v>41349</v>
      </c>
      <c r="B39" s="34">
        <v>2</v>
      </c>
      <c r="C39" s="34" t="s">
        <v>228</v>
      </c>
      <c r="D39" s="34" t="s">
        <v>229</v>
      </c>
      <c r="E39" s="36" t="s">
        <v>230</v>
      </c>
      <c r="F39" s="34" t="s">
        <v>231</v>
      </c>
      <c r="G39" s="32"/>
    </row>
    <row r="40" spans="1:7" x14ac:dyDescent="0.25">
      <c r="A40" s="34">
        <v>9392</v>
      </c>
      <c r="B40" s="34">
        <v>2</v>
      </c>
      <c r="C40" s="34" t="s">
        <v>232</v>
      </c>
      <c r="D40" s="34" t="s">
        <v>233</v>
      </c>
      <c r="E40" s="36" t="s">
        <v>234</v>
      </c>
      <c r="F40" s="34" t="s">
        <v>235</v>
      </c>
      <c r="G40" s="32"/>
    </row>
    <row r="41" spans="1:7" x14ac:dyDescent="0.25">
      <c r="A41" s="34">
        <v>48867</v>
      </c>
      <c r="B41" s="34">
        <v>2</v>
      </c>
      <c r="C41" s="34" t="s">
        <v>236</v>
      </c>
      <c r="D41" s="34" t="s">
        <v>237</v>
      </c>
      <c r="E41" s="36" t="s">
        <v>238</v>
      </c>
      <c r="F41" s="34" t="s">
        <v>239</v>
      </c>
      <c r="G41" s="32"/>
    </row>
    <row r="42" spans="1:7" x14ac:dyDescent="0.25">
      <c r="A42" s="34">
        <v>41348</v>
      </c>
      <c r="B42" s="34">
        <v>2</v>
      </c>
      <c r="C42" s="34" t="s">
        <v>240</v>
      </c>
      <c r="D42" s="34" t="s">
        <v>229</v>
      </c>
      <c r="E42" s="36" t="s">
        <v>230</v>
      </c>
      <c r="F42" s="34" t="s">
        <v>231</v>
      </c>
    </row>
    <row r="43" spans="1:7" x14ac:dyDescent="0.25">
      <c r="E43" s="36"/>
    </row>
    <row r="44" spans="1:7" x14ac:dyDescent="0.25">
      <c r="E44" s="36"/>
    </row>
  </sheetData>
  <hyperlinks>
    <hyperlink ref="E2" r:id="rId1" xr:uid="{DB086D5B-8613-4923-9EE6-D71AD6CCC6D8}"/>
    <hyperlink ref="E3" r:id="rId2" xr:uid="{38CEA1BA-23DF-4398-AD28-98910113BEC0}"/>
    <hyperlink ref="E4" r:id="rId3" xr:uid="{377584A9-4FCF-4C9F-BB44-487F4AE697BD}"/>
    <hyperlink ref="E5" r:id="rId4" xr:uid="{D07A2257-815E-4FA0-A034-D9DA47750ECF}"/>
    <hyperlink ref="E6" r:id="rId5" xr:uid="{20DD32D6-DCFE-4DBE-B161-6F6524FAA8DD}"/>
    <hyperlink ref="E7" r:id="rId6" xr:uid="{9635BEB6-6927-4B21-948F-E2D61909D95F}"/>
    <hyperlink ref="E8" r:id="rId7" xr:uid="{61DEEE14-4A4F-48AF-ABEB-BD7578A959F9}"/>
    <hyperlink ref="E9" r:id="rId8" xr:uid="{F16215B2-005E-4BBE-BEBA-FB7FD617B3D4}"/>
    <hyperlink ref="E10" r:id="rId9" xr:uid="{CF8CC337-8D03-433C-A68C-0B297675C4B2}"/>
    <hyperlink ref="E11" r:id="rId10" xr:uid="{3F2C64E4-B21C-4E59-A8CF-911579DEF50B}"/>
    <hyperlink ref="E12" r:id="rId11" xr:uid="{5CA0546D-3D99-499E-A156-595CCB3E6746}"/>
    <hyperlink ref="E13" r:id="rId12" xr:uid="{2282D371-C5BF-490C-845A-19EB2CE465E4}"/>
    <hyperlink ref="E14" r:id="rId13" xr:uid="{E0CB11CA-B0D4-4D87-92F4-B19C44CBBE93}"/>
    <hyperlink ref="E15" r:id="rId14" xr:uid="{A61E8ECA-4421-43EA-BC7C-9D93418B996B}"/>
    <hyperlink ref="E16" r:id="rId15" xr:uid="{1749D351-A63B-4346-9A73-E1261BF3F14C}"/>
    <hyperlink ref="E17" r:id="rId16" xr:uid="{5A200B75-8716-4873-995D-8819D80441BA}"/>
    <hyperlink ref="E18" r:id="rId17" xr:uid="{33E6E660-643F-4360-B6E6-760BB3FC6CAA}"/>
    <hyperlink ref="E19" r:id="rId18" xr:uid="{AD70B99E-739F-4054-A55D-F4417243AA59}"/>
    <hyperlink ref="E20" r:id="rId19" xr:uid="{9ED9EADE-AAA8-4933-9E94-2F3DEC88C417}"/>
    <hyperlink ref="E21" r:id="rId20" xr:uid="{D2FADFF3-8348-4AC2-991F-FBBE72A1CE22}"/>
    <hyperlink ref="E22" r:id="rId21" xr:uid="{5B9C95D3-2847-4ACE-B79D-A19C325066CC}"/>
    <hyperlink ref="E23" r:id="rId22" xr:uid="{942D716A-E2B4-4C44-A276-92DF20E49841}"/>
    <hyperlink ref="E24" r:id="rId23" xr:uid="{FF22594B-52AD-43E7-AF3B-512FD359D43F}"/>
    <hyperlink ref="E25" r:id="rId24" xr:uid="{C3A87CC8-5C76-4AA0-A332-15A03C8A254D}"/>
    <hyperlink ref="E26" r:id="rId25" xr:uid="{A43C9D3B-DDA3-4D17-B270-5FC956DD62E5}"/>
    <hyperlink ref="E27" r:id="rId26" xr:uid="{317C26BC-632F-40C2-8CAD-3B10182BCB60}"/>
    <hyperlink ref="E28" r:id="rId27" xr:uid="{ECD6C8B8-B1E0-4CD3-BBEA-312ACBE9D066}"/>
    <hyperlink ref="E29" r:id="rId28" xr:uid="{9EAA6027-3ED9-4A9E-936E-59CA2188833F}"/>
    <hyperlink ref="E30" r:id="rId29" xr:uid="{3B9F91F2-3C99-448A-BBBC-1AB440C71ED3}"/>
    <hyperlink ref="E31" r:id="rId30" xr:uid="{0FBD067E-28B2-4283-BBEF-C47C289745F1}"/>
    <hyperlink ref="E32" r:id="rId31" xr:uid="{65A31C31-0495-4F30-92FE-CC454AF1472A}"/>
    <hyperlink ref="E33" r:id="rId32" xr:uid="{353F375A-4754-4CB6-B037-727498A7BC34}"/>
    <hyperlink ref="E34" r:id="rId33" xr:uid="{38F1475A-33B9-421F-85B2-CC074BED2702}"/>
    <hyperlink ref="E35" r:id="rId34" xr:uid="{AF7B9E5B-1F6B-4D10-978D-2BA81E5B1B2A}"/>
    <hyperlink ref="E36" r:id="rId35" xr:uid="{0E6A7585-36DB-4F77-BE70-93A4A985C7DA}"/>
    <hyperlink ref="E37" r:id="rId36" xr:uid="{7C33778C-EAEB-4AAC-8AFB-7F9E861B57A0}"/>
    <hyperlink ref="E38" r:id="rId37" xr:uid="{2E06D5CA-AAF4-418F-8B69-743E50971687}"/>
    <hyperlink ref="E39" r:id="rId38" xr:uid="{C0BE8ED7-E3F1-40A7-B98D-A6B24F828C17}"/>
    <hyperlink ref="E40" r:id="rId39" xr:uid="{FB48A1D8-ABC5-4AC7-BB90-DEB26478ED87}"/>
    <hyperlink ref="E41" r:id="rId40" xr:uid="{FE9F7436-3598-46CA-98E2-45B37328044E}"/>
    <hyperlink ref="E42" r:id="rId41" xr:uid="{88FAC1D0-DD70-4DF0-B577-543FB9104F1D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8"/>
  <sheetViews>
    <sheetView tabSelected="1" topLeftCell="A2" workbookViewId="0">
      <pane ySplit="2" topLeftCell="A4" activePane="bottomLeft" state="frozen"/>
      <selection activeCell="B2" sqref="B2"/>
      <selection pane="bottomLeft" activeCell="C14" sqref="C14"/>
    </sheetView>
  </sheetViews>
  <sheetFormatPr defaultColWidth="9.28515625" defaultRowHeight="15" x14ac:dyDescent="0.25"/>
  <cols>
    <col min="1" max="1" width="22.140625" style="4" hidden="1" customWidth="1"/>
    <col min="2" max="2" width="67.42578125" style="5" customWidth="1"/>
    <col min="3" max="3" width="15.42578125" style="6" customWidth="1"/>
    <col min="4" max="4" width="20.85546875" style="7" customWidth="1"/>
    <col min="5" max="5" width="9.28515625" style="8" customWidth="1"/>
    <col min="6" max="6" width="12.28515625" style="8" customWidth="1"/>
    <col min="7" max="7" width="10.42578125" style="8" customWidth="1"/>
    <col min="8" max="8" width="9.28515625" style="8"/>
    <col min="9" max="9" width="9.28515625" style="8" customWidth="1"/>
    <col min="10" max="10" width="23.5703125" style="8" customWidth="1"/>
    <col min="11" max="11" width="18.5703125" style="7" customWidth="1"/>
    <col min="12" max="13" width="23.85546875" style="7" customWidth="1"/>
    <col min="14" max="14" width="9.28515625" style="8"/>
    <col min="15" max="15" width="21.140625" style="8" customWidth="1"/>
    <col min="16" max="16384" width="9.28515625" style="8"/>
  </cols>
  <sheetData>
    <row r="1" spans="1:13" hidden="1" x14ac:dyDescent="0.25">
      <c r="A1" s="4" t="s">
        <v>101</v>
      </c>
      <c r="B1" s="5" t="s">
        <v>100</v>
      </c>
      <c r="C1" s="6" t="s">
        <v>102</v>
      </c>
    </row>
    <row r="2" spans="1:13" s="21" customFormat="1" ht="18.75" x14ac:dyDescent="0.3">
      <c r="A2" s="22" t="s">
        <v>95</v>
      </c>
      <c r="B2" s="23" t="s">
        <v>66</v>
      </c>
      <c r="C2" s="46" t="s">
        <v>241</v>
      </c>
      <c r="D2" s="46"/>
      <c r="E2" s="46"/>
      <c r="F2" s="46"/>
      <c r="G2" s="46"/>
      <c r="H2" s="46"/>
      <c r="I2" s="46"/>
      <c r="J2" s="46"/>
      <c r="K2" s="20"/>
      <c r="L2" s="20"/>
      <c r="M2" s="20"/>
    </row>
    <row r="3" spans="1:13" ht="15.75" x14ac:dyDescent="0.25">
      <c r="A3" s="42">
        <f>MAX(C26, TIME(0, C19 + SUM(C35:D35)*C3 + IF(C19 + SUM(C35:D35)*C3 &gt; C15, 0), 0))</f>
        <v>0.60069444444444453</v>
      </c>
      <c r="B3" s="5" t="s">
        <v>74</v>
      </c>
      <c r="C3" s="6">
        <f>COUNTA('Team Information'!A:A) - COUNTA('Team Information'!A1)</f>
        <v>41</v>
      </c>
      <c r="E3" s="43" t="s">
        <v>71</v>
      </c>
      <c r="F3" s="43"/>
      <c r="G3" s="43"/>
      <c r="H3" s="43"/>
      <c r="I3" s="43"/>
      <c r="J3" s="19">
        <f>IF(OR(ISNA($A$43), COUNTBLANK($C$15:$C$16) &gt; 1), "N/A", $A$3 + IF(A43 &gt; 0, TIME(0, AVERAGE($E$35:$CU$35)*$A$43, 0) + TIME(0, IF($C$26 &lt; $C$15, $C$16, 0), 0), 0))</f>
        <v>0.71736111111111123</v>
      </c>
    </row>
    <row r="6" spans="1:13" x14ac:dyDescent="0.25">
      <c r="A6" s="4" t="s">
        <v>85</v>
      </c>
      <c r="B6" s="5" t="s">
        <v>67</v>
      </c>
      <c r="C6" s="1" t="s">
        <v>68</v>
      </c>
      <c r="D6" s="44" t="s">
        <v>84</v>
      </c>
      <c r="E6" s="45"/>
      <c r="F6" s="45"/>
      <c r="G6" s="45"/>
      <c r="H6" s="45"/>
      <c r="I6" s="45"/>
      <c r="J6" s="45"/>
      <c r="K6" s="45"/>
      <c r="L6" s="45"/>
      <c r="M6" s="8"/>
    </row>
    <row r="7" spans="1:13" x14ac:dyDescent="0.25">
      <c r="A7" s="4" t="s">
        <v>86</v>
      </c>
      <c r="B7" s="5" t="s">
        <v>77</v>
      </c>
      <c r="C7" s="39">
        <v>10</v>
      </c>
      <c r="D7" s="44"/>
      <c r="E7" s="45"/>
      <c r="F7" s="45"/>
      <c r="G7" s="45"/>
      <c r="H7" s="45"/>
      <c r="I7" s="45"/>
      <c r="J7" s="45"/>
      <c r="K7" s="45"/>
      <c r="L7" s="45"/>
      <c r="M7" s="8"/>
    </row>
    <row r="8" spans="1:13" x14ac:dyDescent="0.25">
      <c r="A8" s="4" t="s">
        <v>126</v>
      </c>
      <c r="B8" s="5" t="s">
        <v>133</v>
      </c>
      <c r="C8" s="37">
        <v>0.35416666666666669</v>
      </c>
      <c r="D8" s="24"/>
      <c r="E8" s="24"/>
      <c r="F8" s="24"/>
      <c r="G8" s="24"/>
      <c r="H8" s="24"/>
      <c r="I8" s="24"/>
      <c r="J8" s="24"/>
      <c r="K8" s="24"/>
      <c r="L8" s="24"/>
      <c r="M8" s="8"/>
    </row>
    <row r="9" spans="1:13" x14ac:dyDescent="0.25">
      <c r="A9" s="4" t="s">
        <v>127</v>
      </c>
      <c r="B9" s="5" t="s">
        <v>132</v>
      </c>
      <c r="C9" s="39">
        <v>30</v>
      </c>
      <c r="D9" s="24"/>
      <c r="E9" s="24"/>
      <c r="F9" s="24"/>
      <c r="G9" s="24"/>
      <c r="H9" s="24"/>
      <c r="I9" s="24"/>
      <c r="J9" s="24"/>
      <c r="K9" s="24"/>
      <c r="L9" s="24"/>
      <c r="M9" s="8"/>
    </row>
    <row r="10" spans="1:13" x14ac:dyDescent="0.25">
      <c r="A10" s="4" t="s">
        <v>131</v>
      </c>
      <c r="B10" s="5" t="s">
        <v>134</v>
      </c>
      <c r="C10" s="39" t="s">
        <v>242</v>
      </c>
      <c r="D10" s="24"/>
      <c r="E10" s="24"/>
      <c r="F10" s="24"/>
      <c r="G10" s="24"/>
      <c r="H10" s="24"/>
      <c r="I10" s="24"/>
      <c r="J10" s="24"/>
      <c r="K10" s="24"/>
      <c r="L10" s="24"/>
      <c r="M10" s="8"/>
    </row>
    <row r="11" spans="1:13" x14ac:dyDescent="0.25">
      <c r="A11" s="4" t="s">
        <v>128</v>
      </c>
      <c r="B11" s="5" t="s">
        <v>130</v>
      </c>
      <c r="C11" s="37">
        <v>0.33333333333333331</v>
      </c>
      <c r="D11" s="24"/>
      <c r="E11" s="24"/>
      <c r="F11" s="24"/>
      <c r="G11" s="24"/>
      <c r="H11" s="24"/>
      <c r="I11" s="24"/>
      <c r="J11" s="24"/>
      <c r="K11" s="24"/>
      <c r="L11" s="24"/>
      <c r="M11" s="8"/>
    </row>
    <row r="12" spans="1:13" x14ac:dyDescent="0.25">
      <c r="A12" s="4" t="s">
        <v>129</v>
      </c>
      <c r="B12" s="5" t="s">
        <v>143</v>
      </c>
      <c r="C12" s="39">
        <v>15</v>
      </c>
      <c r="D12" s="18"/>
      <c r="E12" s="24"/>
      <c r="F12" s="24"/>
      <c r="G12" s="24"/>
      <c r="H12" s="24"/>
      <c r="I12" s="24"/>
      <c r="J12" s="24"/>
      <c r="K12" s="24"/>
      <c r="L12" s="24"/>
      <c r="M12" s="8"/>
    </row>
    <row r="13" spans="1:13" x14ac:dyDescent="0.25">
      <c r="A13" s="4" t="s">
        <v>135</v>
      </c>
      <c r="B13" s="5" t="s">
        <v>136</v>
      </c>
      <c r="C13" s="39" t="s">
        <v>243</v>
      </c>
      <c r="D13" s="18"/>
      <c r="E13" s="24"/>
      <c r="F13" s="24"/>
      <c r="G13" s="24"/>
      <c r="H13" s="24"/>
      <c r="I13" s="24"/>
      <c r="J13" s="24"/>
      <c r="K13" s="24"/>
      <c r="L13" s="24"/>
      <c r="M13" s="8"/>
    </row>
    <row r="14" spans="1:13" x14ac:dyDescent="0.25">
      <c r="A14" s="4" t="s">
        <v>145</v>
      </c>
      <c r="B14" s="5" t="s">
        <v>151</v>
      </c>
      <c r="C14" s="37">
        <v>0.45833333333333331</v>
      </c>
      <c r="D14" s="18"/>
      <c r="E14" s="24"/>
      <c r="F14" s="24"/>
      <c r="G14" s="24"/>
      <c r="H14" s="24"/>
      <c r="I14" s="24"/>
      <c r="J14" s="24"/>
      <c r="K14" s="24"/>
      <c r="L14" s="24"/>
      <c r="M14" s="8"/>
    </row>
    <row r="15" spans="1:13" x14ac:dyDescent="0.25">
      <c r="A15" s="4" t="s">
        <v>146</v>
      </c>
      <c r="B15" s="5" t="s">
        <v>152</v>
      </c>
      <c r="C15" s="37">
        <v>0.54166666666666663</v>
      </c>
      <c r="D15" s="18"/>
      <c r="E15" s="24"/>
      <c r="F15" s="24"/>
      <c r="G15" s="24"/>
      <c r="H15" s="24"/>
      <c r="I15" s="24"/>
      <c r="J15" s="24"/>
      <c r="K15" s="24"/>
      <c r="L15" s="24"/>
      <c r="M15" s="8"/>
    </row>
    <row r="16" spans="1:13" x14ac:dyDescent="0.25">
      <c r="A16" s="4" t="s">
        <v>144</v>
      </c>
      <c r="B16" s="5" t="s">
        <v>153</v>
      </c>
      <c r="C16" s="39">
        <v>30</v>
      </c>
      <c r="D16" s="18"/>
      <c r="E16" s="24"/>
      <c r="F16" s="24"/>
      <c r="G16" s="24"/>
      <c r="H16" s="24"/>
      <c r="I16" s="24"/>
      <c r="J16" s="24"/>
      <c r="K16" s="24"/>
      <c r="L16" s="24"/>
      <c r="M16" s="8"/>
    </row>
    <row r="17" spans="1:13" x14ac:dyDescent="0.25">
      <c r="A17" s="4" t="s">
        <v>140</v>
      </c>
      <c r="B17" s="9"/>
      <c r="H17" s="29"/>
      <c r="J17" s="29"/>
    </row>
    <row r="18" spans="1:13" x14ac:dyDescent="0.25">
      <c r="A18" s="4" t="s">
        <v>141</v>
      </c>
      <c r="B18" s="9" t="s">
        <v>72</v>
      </c>
      <c r="D18" s="11" t="s">
        <v>69</v>
      </c>
    </row>
    <row r="19" spans="1:13" x14ac:dyDescent="0.25">
      <c r="A19" s="4" t="s">
        <v>99</v>
      </c>
      <c r="B19" s="5" t="s">
        <v>79</v>
      </c>
      <c r="C19" s="37">
        <v>0.38541666666666669</v>
      </c>
      <c r="D19" s="15">
        <f>MAX(C8+TIME(0, C9, 0), C11 + TIME(0, C12, 0)) + TIME(0, C7, 0)</f>
        <v>0.38194444444444442</v>
      </c>
      <c r="E19" s="16"/>
    </row>
    <row r="20" spans="1:13" x14ac:dyDescent="0.25">
      <c r="A20" s="4" t="s">
        <v>87</v>
      </c>
      <c r="B20" s="5" t="s">
        <v>76</v>
      </c>
      <c r="C20" s="39">
        <v>3</v>
      </c>
      <c r="D20" s="17">
        <f>CEILING(C3/12, 1)</f>
        <v>4</v>
      </c>
      <c r="E20" s="14"/>
    </row>
    <row r="21" spans="1:13" x14ac:dyDescent="0.25">
      <c r="A21" s="4" t="s">
        <v>88</v>
      </c>
      <c r="B21" s="5" t="s">
        <v>75</v>
      </c>
      <c r="C21" s="38" t="s">
        <v>141</v>
      </c>
      <c r="D21" s="17" t="str">
        <f>IF(COUNTIF('Team Information'!$1:$1, "Division") &gt; 0, "Disabled with divisions", IF(OR(MOD(C3, 2), C20 &gt; 2), "Yes", "No"))</f>
        <v>Disabled with divisions</v>
      </c>
      <c r="E21" s="14"/>
    </row>
    <row r="22" spans="1:13" x14ac:dyDescent="0.25">
      <c r="A22" s="4" t="s">
        <v>142</v>
      </c>
      <c r="B22" s="5" t="s">
        <v>81</v>
      </c>
      <c r="C22" s="13">
        <f>IF(ISBLANK(C20), "N/A", IF(C21="Yes",1+_xlfn.CEILING.MATH((C3-1)/C20), _xlfn.CEILING.MATH(C3/C20)))</f>
        <v>14</v>
      </c>
      <c r="D22" s="7" t="s">
        <v>82</v>
      </c>
      <c r="E22" s="14"/>
      <c r="F22" s="6"/>
      <c r="J22" s="30"/>
    </row>
    <row r="23" spans="1:13" x14ac:dyDescent="0.25">
      <c r="A23" s="4" t="s">
        <v>89</v>
      </c>
      <c r="B23" s="5" t="s">
        <v>158</v>
      </c>
      <c r="C23" s="39">
        <v>20</v>
      </c>
      <c r="D23" s="7">
        <v>17.5</v>
      </c>
      <c r="E23" s="12"/>
    </row>
    <row r="24" spans="1:13" x14ac:dyDescent="0.25">
      <c r="A24" s="4" t="s">
        <v>90</v>
      </c>
      <c r="B24" s="5" t="s">
        <v>154</v>
      </c>
      <c r="C24" s="39">
        <v>0</v>
      </c>
      <c r="D24" s="7">
        <v>3</v>
      </c>
      <c r="I24" s="29"/>
    </row>
    <row r="25" spans="1:13" x14ac:dyDescent="0.25">
      <c r="A25" s="4" t="s">
        <v>91</v>
      </c>
      <c r="B25" s="5" t="s">
        <v>78</v>
      </c>
      <c r="C25" s="39">
        <v>0</v>
      </c>
      <c r="D25" s="7" t="str">
        <f>IF(OR(C24 = 0, ISBLANK(C24), ISBLANK(C23)), "", MAX(C24*(20 - C23), 0))</f>
        <v/>
      </c>
    </row>
    <row r="26" spans="1:13" x14ac:dyDescent="0.25">
      <c r="A26" s="31">
        <f>MAX(C19:D19) + TIME(0, C22*C23, 0) + IF(C24 &gt; 0, TIME(0, C25, 0)*FLOOR((C22 - IF(C21="Yes", 3, 2))/C24, 1), 0)</f>
        <v>0.57986111111111116</v>
      </c>
      <c r="B26" s="5" t="s">
        <v>80</v>
      </c>
      <c r="C26" s="10">
        <f>IF(COUNTBLANK(C15:C25) &gt; 2, "N/A", A26 + TIME(0, IF(C15 &lt; A26, C16, 0), 0))</f>
        <v>0.60069444444444453</v>
      </c>
      <c r="K26" s="11"/>
      <c r="L26" s="11"/>
      <c r="M26" s="11"/>
    </row>
    <row r="27" spans="1:13" x14ac:dyDescent="0.25">
      <c r="C27" s="10"/>
      <c r="K27" s="11"/>
      <c r="L27" s="11"/>
      <c r="M27" s="11"/>
    </row>
    <row r="28" spans="1:13" s="26" customFormat="1" x14ac:dyDescent="0.25">
      <c r="A28" s="28" t="s">
        <v>96</v>
      </c>
      <c r="B28" s="25" t="s">
        <v>64</v>
      </c>
      <c r="C28" s="40" t="s">
        <v>244</v>
      </c>
      <c r="D28" s="41" t="s">
        <v>245</v>
      </c>
      <c r="E28" s="26" t="s">
        <v>246</v>
      </c>
      <c r="K28" s="27"/>
      <c r="L28" s="27"/>
      <c r="M28" s="27"/>
    </row>
    <row r="29" spans="1:13" s="26" customFormat="1" x14ac:dyDescent="0.25">
      <c r="A29" s="28" t="s">
        <v>97</v>
      </c>
      <c r="B29" s="25" t="s">
        <v>65</v>
      </c>
      <c r="C29" s="40" t="s">
        <v>247</v>
      </c>
      <c r="D29" s="41" t="s">
        <v>248</v>
      </c>
      <c r="E29" s="26" t="s">
        <v>249</v>
      </c>
      <c r="K29" s="27"/>
      <c r="L29" s="27"/>
      <c r="M29" s="27"/>
    </row>
    <row r="30" spans="1:13" s="26" customFormat="1" x14ac:dyDescent="0.25">
      <c r="A30" s="28" t="s">
        <v>98</v>
      </c>
      <c r="B30" s="25" t="s">
        <v>70</v>
      </c>
      <c r="C30" s="40" t="s">
        <v>250</v>
      </c>
      <c r="D30" s="41" t="s">
        <v>251</v>
      </c>
      <c r="E30" s="26" t="s">
        <v>252</v>
      </c>
      <c r="K30" s="27"/>
      <c r="L30" s="27"/>
      <c r="M30" s="27"/>
    </row>
    <row r="31" spans="1:13" s="6" customFormat="1" x14ac:dyDescent="0.25">
      <c r="A31" s="4"/>
      <c r="B31" s="5"/>
      <c r="D31" s="7"/>
      <c r="K31" s="7"/>
      <c r="L31" s="7"/>
      <c r="M31" s="7"/>
    </row>
    <row r="32" spans="1:13" x14ac:dyDescent="0.25">
      <c r="B32" s="9" t="s">
        <v>73</v>
      </c>
      <c r="I32" s="5"/>
      <c r="J32" s="6"/>
    </row>
    <row r="33" spans="1:13" s="26" customFormat="1" ht="15.4" customHeight="1" x14ac:dyDescent="0.25">
      <c r="A33" s="28" t="s">
        <v>93</v>
      </c>
      <c r="B33" s="25" t="s">
        <v>159</v>
      </c>
      <c r="C33" s="40" t="s">
        <v>253</v>
      </c>
      <c r="D33" s="41" t="s">
        <v>254</v>
      </c>
      <c r="E33" s="40" t="s">
        <v>255</v>
      </c>
      <c r="F33" s="40" t="s">
        <v>256</v>
      </c>
      <c r="K33" s="27"/>
      <c r="L33" s="27"/>
      <c r="M33" s="27"/>
    </row>
    <row r="34" spans="1:13" s="26" customFormat="1" ht="15.4" customHeight="1" x14ac:dyDescent="0.25">
      <c r="A34" s="28" t="s">
        <v>157</v>
      </c>
      <c r="B34" s="25" t="s">
        <v>156</v>
      </c>
      <c r="C34" s="40" t="s">
        <v>257</v>
      </c>
      <c r="D34" s="41"/>
      <c r="E34" s="40"/>
      <c r="F34" s="40"/>
      <c r="K34" s="27"/>
      <c r="L34" s="27"/>
      <c r="M34" s="27"/>
    </row>
    <row r="35" spans="1:13" s="2" customFormat="1" x14ac:dyDescent="0.25">
      <c r="A35" s="4" t="s">
        <v>94</v>
      </c>
      <c r="B35" s="5" t="s">
        <v>137</v>
      </c>
      <c r="C35" s="2">
        <v>10</v>
      </c>
      <c r="D35" s="2">
        <v>10</v>
      </c>
      <c r="E35" s="2">
        <v>8</v>
      </c>
      <c r="F35" s="2">
        <v>8</v>
      </c>
      <c r="K35" s="3"/>
      <c r="L35" s="3"/>
      <c r="M35" s="3"/>
    </row>
    <row r="36" spans="1:13" s="6" customFormat="1" x14ac:dyDescent="0.25">
      <c r="A36" s="4"/>
      <c r="B36" s="5" t="s">
        <v>138</v>
      </c>
      <c r="C36" s="6">
        <f>IF(ISBLANK(C33), "", 10)</f>
        <v>10</v>
      </c>
      <c r="D36" s="6">
        <f>IF(OR(ISBLANK(D33), ISBLANK(C36)), "", 10)</f>
        <v>10</v>
      </c>
      <c r="E36" s="6">
        <f t="shared" ref="E36:K36" si="0">IF(OR(ISBLANK(E33), ISBLANK(D36)), "", 8)</f>
        <v>8</v>
      </c>
      <c r="F36" s="6">
        <f t="shared" si="0"/>
        <v>8</v>
      </c>
      <c r="G36" s="6" t="str">
        <f t="shared" si="0"/>
        <v/>
      </c>
      <c r="H36" s="6" t="str">
        <f t="shared" si="0"/>
        <v/>
      </c>
      <c r="I36" s="6" t="str">
        <f t="shared" si="0"/>
        <v/>
      </c>
      <c r="J36" s="6" t="str">
        <f t="shared" si="0"/>
        <v/>
      </c>
      <c r="K36" s="6" t="str">
        <f t="shared" si="0"/>
        <v/>
      </c>
      <c r="M36" s="7"/>
    </row>
    <row r="37" spans="1:13" s="6" customFormat="1" x14ac:dyDescent="0.25">
      <c r="A37" s="8">
        <f>IF(ISNUMBER(C38), CEILING(C3*COUNT(E35:S35)/(2*C38), 1), NA())</f>
        <v>21</v>
      </c>
      <c r="B37" s="5"/>
      <c r="M37" s="7"/>
    </row>
    <row r="38" spans="1:13" x14ac:dyDescent="0.25">
      <c r="A38" s="4" t="s">
        <v>92</v>
      </c>
      <c r="B38" s="5" t="s">
        <v>83</v>
      </c>
      <c r="C38" s="39">
        <v>2</v>
      </c>
      <c r="D38" s="7">
        <f>IF(OR(ISBLANK(C20), COUNTBLANK(C23:C25) &gt; 0), "N/A", CEILING(3/2*C20*C35/(C23+IF(C24 = 0, 0, C25/C24)), 1))</f>
        <v>3</v>
      </c>
    </row>
    <row r="39" spans="1:13" x14ac:dyDescent="0.25">
      <c r="A39" s="4" t="s">
        <v>147</v>
      </c>
      <c r="B39" s="5" t="s">
        <v>148</v>
      </c>
      <c r="C39" s="38" t="s">
        <v>141</v>
      </c>
    </row>
    <row r="40" spans="1:13" x14ac:dyDescent="0.25">
      <c r="A40" s="4" t="s">
        <v>150</v>
      </c>
      <c r="B40" s="5" t="s">
        <v>155</v>
      </c>
      <c r="C40" s="39">
        <v>0</v>
      </c>
    </row>
    <row r="41" spans="1:13" s="27" customFormat="1" x14ac:dyDescent="0.25">
      <c r="A41" s="28" t="s">
        <v>104</v>
      </c>
      <c r="B41" s="25" t="s">
        <v>103</v>
      </c>
      <c r="C41" s="41" t="s">
        <v>258</v>
      </c>
      <c r="D41" s="41" t="s">
        <v>259</v>
      </c>
    </row>
    <row r="42" spans="1:13" s="27" customFormat="1" x14ac:dyDescent="0.25">
      <c r="A42" s="28" t="s">
        <v>139</v>
      </c>
      <c r="B42" s="25" t="s">
        <v>149</v>
      </c>
      <c r="C42" s="41"/>
      <c r="D42" s="41"/>
    </row>
    <row r="43" spans="1:13" x14ac:dyDescent="0.25">
      <c r="A43" s="8">
        <f>IF(COUNTA(C39:C40) = 2, A37 + IF(C40 = 0, 0, FLOOR(A37/C40, 1)) + IF(C39 = "Yes", 1/2, 0), NA())</f>
        <v>21</v>
      </c>
    </row>
    <row r="48" spans="1:13" x14ac:dyDescent="0.25">
      <c r="I48" s="29"/>
    </row>
  </sheetData>
  <sheetProtection sheet="1" selectLockedCells="1"/>
  <mergeCells count="3">
    <mergeCell ref="E3:I3"/>
    <mergeCell ref="D6:L7"/>
    <mergeCell ref="C2:J2"/>
  </mergeCells>
  <conditionalFormatting sqref="A28:B30 E28:XFD30">
    <cfRule type="expression" dxfId="24" priority="24">
      <formula>AND(COLUMN() - 2 &gt; $C$20, NOT(ISBLANK(A28)))</formula>
    </cfRule>
    <cfRule type="expression" dxfId="23" priority="26">
      <formula>AND(COLUMN() &gt; 2, COLUMN()  - 3 &lt; $C$20, NOT(ISBLANK(A28)))</formula>
    </cfRule>
    <cfRule type="expression" dxfId="22" priority="27">
      <formula>AND(COLUMN() &gt; 2, COLUMN() - 3 &lt; $C$20)</formula>
    </cfRule>
  </conditionalFormatting>
  <conditionalFormatting sqref="A33:B33 G33:XFD33">
    <cfRule type="expression" dxfId="21" priority="23">
      <formula>AND(COLUMN() - 4 &lt; COUNTA(A$33:$C$33), COLUMN() &gt; 2)</formula>
    </cfRule>
  </conditionalFormatting>
  <conditionalFormatting sqref="A34:B35 G34:XFD35">
    <cfRule type="expression" dxfId="20" priority="19">
      <formula>AND(COLUMN() &gt; 2, NOT(ISBLANK(A$33)))</formula>
    </cfRule>
  </conditionalFormatting>
  <conditionalFormatting sqref="A41:B41 E41:XFD41">
    <cfRule type="expression" dxfId="19" priority="28">
      <formula>AND(COLUMN() - 2 &gt; $C$38, NOT(ISBLANK(A41)))</formula>
    </cfRule>
    <cfRule type="expression" dxfId="18" priority="29">
      <formula>AND(COLUMN() &gt; 2, COLUMN()  - 3 &lt; $C$38, NOT(ISBLANK(A41)))</formula>
    </cfRule>
    <cfRule type="expression" dxfId="17" priority="30">
      <formula>AND(COLUMN() &gt; 2, COLUMN() - 3 &lt; $C$38)</formula>
    </cfRule>
  </conditionalFormatting>
  <conditionalFormatting sqref="A42:B42 E42:XFD42">
    <cfRule type="expression" dxfId="16" priority="31">
      <formula>AND(OR(ISBLANK(A41), COLUMN() - 2 &gt; $C$38), NOT(ISBLANK(A42)))</formula>
    </cfRule>
    <cfRule type="expression" dxfId="15" priority="32">
      <formula>AND(COLUMN() &gt; 2, COLUMN() - 3 &lt; $C$38, NOT(ISBLANK(A41)))</formula>
    </cfRule>
  </conditionalFormatting>
  <conditionalFormatting sqref="C28:D30">
    <cfRule type="expression" dxfId="14" priority="13">
      <formula>AND(COLUMN() - 2 &gt; $C$20, NOT(ISBLANK(C28)))</formula>
    </cfRule>
    <cfRule type="expression" dxfId="13" priority="14">
      <formula>AND(COLUMN() &gt; 2, COLUMN()  - 3 &lt; $C$20, NOT(ISBLANK(C28)))</formula>
    </cfRule>
    <cfRule type="expression" dxfId="12" priority="15">
      <formula>AND(COLUMN() &gt; 2, COLUMN() - 3 &lt; $C$20)</formula>
    </cfRule>
  </conditionalFormatting>
  <conditionalFormatting sqref="C33:F33">
    <cfRule type="expression" dxfId="11" priority="12">
      <formula>AND(COLUMN() - 4 &lt; COUNTA(C$33:$C$33), COLUMN() &gt; 2)</formula>
    </cfRule>
  </conditionalFormatting>
  <conditionalFormatting sqref="C34:F35">
    <cfRule type="expression" dxfId="10" priority="11">
      <formula>AND(COLUMN() &gt; 2, NOT(ISBLANK(C$33)))</formula>
    </cfRule>
  </conditionalFormatting>
  <conditionalFormatting sqref="C41">
    <cfRule type="expression" dxfId="9" priority="6">
      <formula>AND(COLUMN() - 2 &gt; $C$38, NOT(ISBLANK(C41)))</formula>
    </cfRule>
    <cfRule type="expression" dxfId="8" priority="7">
      <formula>AND(COLUMN() &gt; 2, COLUMN()  - 3 &lt; $C$38, NOT(ISBLANK(C41)))</formula>
    </cfRule>
    <cfRule type="expression" dxfId="7" priority="8">
      <formula>AND(COLUMN() &gt; 2, COLUMN() - 3 &lt; $C$38)</formula>
    </cfRule>
  </conditionalFormatting>
  <conditionalFormatting sqref="C42">
    <cfRule type="expression" dxfId="6" priority="9">
      <formula>AND(OR(ISBLANK(C41), COLUMN() - 2 &gt; $C$38), NOT(ISBLANK(C42)))</formula>
    </cfRule>
    <cfRule type="expression" dxfId="5" priority="10">
      <formula>AND(COLUMN() &gt; 2, COLUMN() - 3 &lt; $C$38, NOT(ISBLANK(C41)))</formula>
    </cfRule>
  </conditionalFormatting>
  <conditionalFormatting sqref="D41">
    <cfRule type="expression" dxfId="4" priority="3">
      <formula>AND(COLUMN() - 2 &gt; $C$38, NOT(ISBLANK(D41)))</formula>
    </cfRule>
    <cfRule type="expression" dxfId="3" priority="4">
      <formula>AND(COLUMN() &gt; 2, COLUMN()  - 3 &lt; $C$38, NOT(ISBLANK(D41)))</formula>
    </cfRule>
    <cfRule type="expression" dxfId="2" priority="5">
      <formula>AND(COLUMN() &gt; 2, COLUMN() - 3 &lt; $C$38)</formula>
    </cfRule>
  </conditionalFormatting>
  <conditionalFormatting sqref="D42">
    <cfRule type="expression" dxfId="1" priority="1">
      <formula>AND(OR(ISBLANK(D41), COLUMN() - 2 &gt; $C$38), NOT(ISBLANK(D42)))</formula>
    </cfRule>
    <cfRule type="expression" dxfId="0" priority="2">
      <formula>AND(COLUMN() &gt; 2, COLUMN() - 3 &lt; $C$38, NOT(ISBLANK(D41)))</formula>
    </cfRule>
  </conditionalFormatting>
  <dataValidations count="8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8" xr:uid="{311BABB6-58E0-4E57-8CC3-2F1F40587AB3}">
      <formula1>0</formula1>
    </dataValidation>
    <dataValidation type="decimal" operator="greaterThan" allowBlank="1" showInputMessage="1" showErrorMessage="1" sqref="C23 A35" xr:uid="{ED0546B4-7349-41C1-BFAD-32BAA738CCD3}">
      <formula1>0</formula1>
    </dataValidation>
    <dataValidation type="list" operator="greaterThan" allowBlank="1" showInputMessage="1" showErrorMessage="1" sqref="C39" xr:uid="{6218AE0D-2C17-480F-BB55-556A06BA172B}">
      <formula1>"Yes, No"</formula1>
    </dataValidation>
    <dataValidation type="decimal" operator="greaterThanOrEqual" allowBlank="1" showInputMessage="1" showErrorMessage="1" sqref="C35:XFD35" xr:uid="{FD4AC110-3841-4838-98D8-7B5BF1C23677}">
      <formula1>2.5</formula1>
    </dataValidation>
    <dataValidation type="whole" operator="greaterThanOrEqual" allowBlank="1" showInputMessage="1" showErrorMessage="1" sqref="C24 C40" xr:uid="{7599BA7D-1B41-413B-B506-7B8B6EAA853A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247650</xdr:colOff>
                    <xdr:row>7</xdr:row>
                    <xdr:rowOff>142875</xdr:rowOff>
                  </from>
                  <to>
                    <xdr:col>9</xdr:col>
                    <xdr:colOff>1057275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2019-10-06T20:36:21Z</dcterms:modified>
</cp:coreProperties>
</file>