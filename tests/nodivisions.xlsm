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F4F06FD5-BEA4-4467-835E-B095D81B93F6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<sst xmlns="http://schemas.openxmlformats.org/spreadsheetml/2006/main" count="268" uniqueCount="262">
  <si>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</si>
  <si>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</si>
  <si>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</si>
  <si>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</si>
  <si>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</si>
  <si>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</si>
  <si>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</si>
  <si>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</si>
  <si>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</si>
  <si>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</si>
  <si>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</si>
  <si>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</si>
  <si>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</si>
  <si>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</si>
  <si>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</si>
  <si>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</si>
  <si>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</si>
  <si>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</si>
  <si>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</si>
  <si>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</si>
  <si>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</si>
  <si>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</si>
  <si>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</si>
  <si>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</si>
  <si>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</si>
  <si>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</si>
  <si>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</si>
  <si>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</si>
  <si>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</si>
  <si>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</si>
  <si>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</si>
  <si>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</si>
  <si>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</si>
  <si>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</si>
  <si>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</si>
  <si>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</si>
  <si>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</si>
  <si>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</si>
  <si>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</si>
  <si>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</si>
  <si>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</si>
  <si>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</si>
  <si>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</si>
  <si>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</si>
  <si>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</si>
  <si>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</si>
  <si>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</si>
  <si>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</si>
  <si>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</si>
  <si>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</si>
  <si>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</si>
  <si>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</si>
  <si>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</si>
  <si>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</si>
  <si>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</si>
  <si>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</si>
  <si>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</si>
  <si>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</si>
  <si>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</si>
  <si>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</si>
  <si>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</si>
  <si>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</si>
  <si>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</si>
  <si>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</si>
  <si>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</si>
  <si>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</si>
  <si>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</si>
  <si>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</si>
  <si>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</si>
  <si>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</si>
  <si>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</si>
  <si>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</si>
  <si>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</si>
  <si>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</si>
  <si>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</si>
  <si>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</si>
  <si>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</si>
  <si>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</si>
  <si>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</si>
  <si>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</si>
  <si>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</si>
  <si>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</si>
  <si>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</si>
  <si>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</si>
  <si>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</si>
  <si>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</si>
  <si>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</si>
  <si>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</si>
  <si>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</si>
  <si>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</si>
  <si>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</si>
  <si>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</si>
  <si>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</si>
  <si>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</si>
  <si>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</si>
  <si>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</si>
  <si>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</si>
  <si>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</si>
  <si>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</si>
  <si>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</si>
  <si>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</si>
  <si>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</si>
  <si>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</si>
  <si>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</si>
  <si>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</si>
  <si>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</si>
  <si>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</si>
  <si>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</si>
  <si>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</si>
  <si>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</si>
  <si>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</si>
  <si>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</si>
  <si>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</si>
  <si>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</si>
  <si>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</si>
  <si>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</si>
  <si>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</si>
  <si>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</si>
  <si>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</si>
  <si>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</si>
  <si>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</si>
  <si>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</si>
  <si>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</si>
  <si>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</si>
  <si>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</si>
  <si>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</si>
  <si>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</si>
  <si>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</si>
  <si>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</si>
  <si>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</si>
  <si>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</si>
  <si>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</si>
  <si>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</si>
  <si>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</si>
  <si>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</si>
  <si>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</si>
  <si>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</si>
  <si>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</si>
  <si>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</si>
  <si>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</si>
  <si>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</si>
  <si>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</si>
  <si>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</si>
  <si>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</si>
  <si>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</si>
  <si>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</si>
  <si>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</si>
  <si>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</si>
  <si>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</si>
  <si>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</si>
  <si>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</si>
  <si>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</si>
  <si>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</si>
  <si>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</si>
  <si>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</si>
  <si>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</si>
  <si>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</si>
  <si>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</si>
  <si>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</si>
  <si>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</si>
  <si>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</si>
  <si>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</si>
  <si>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</si>
  <si>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</si>
  <si>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</si>
  <si>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</si>
  <si>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</si>
  <si>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</si>
  <si>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</si>
  <si>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</si>
  <si>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</si>
  <si>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</si>
  <si>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</si>
  <si>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</si>
  <si>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</si>
  <si>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</si>
  <si>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</si>
  <si>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</si>
  <si>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</si>
  <si>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</si>
  <si>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</si>
  <si>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</si>
  <si>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</si>
  <si>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</si>
  <si>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</si>
  <si>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</si>
  <si>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</si>
  <si>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</si>
  <si>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</si>
  <si>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</si>
  <si>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</si>
  <si>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</si>
  <si>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</si>
  <si>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</si>
  <si>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</si>
  <si>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</si>
  <si>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</si>
  <si>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</si>
  <si>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</si>
  <si>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</si>
  <si>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</si>
  <si>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</si>
  <si>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</si>
  <si>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</si>
  <si>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</si>
  <si>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</si>
  <si>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</si>
  <si>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</si>
  <si>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</si>
  <si>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</si>
  <si>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</si>
  <si>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</si>
  <si>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</si>
  <si>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</si>
  <si>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</si>
  <si>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</si>
  <si>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</si>
  <si>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</si>
  <si>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</si>
  <si>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</si>
  <si>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</si>
  <si>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</si>
  <si>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</si>
  <si>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</si>
  <si>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</si>
  <si>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</si>
  <si>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</si>
  <si>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</si>
  <si>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</si>
  <si>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</si>
  <si>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</si>
  <si>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</si>
  <si>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</si>
  <si>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</si>
  <si>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</si>
  <si>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</si>
  <si>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</si>
  <si>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</si>
  <si>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</si>
  <si>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</si>
  <si>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</si>
  <si>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</si>
  <si>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</si>
  <si>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</si>
  <si>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</si>
  <si>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</si>
  <si>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</si>
  <si>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</si>
  <si>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</si>
  <si>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</si>
  <si>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</si>
  <si>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</si>
  <si>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</si>
  <si>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Green</t>
  </si>
  <si>
    <t>Red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</si>
  <si>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</si>
  <si>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</si>
  <si>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</si>
  <si>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</si>
  <si>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</si>
  <si>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</si>
  <si>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nodivisions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</si>
</sst>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workbookViewId="0">
      <selection activeCell="B1" sqref="B1:B1048576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107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4" t="s">
        <v>108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4" t="s">
        <v>109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4" t="s">
        <v>110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4" t="s">
        <v>111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4" t="s">
        <v>112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4" t="s">
        <v>113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4" t="s">
        <v>114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4" t="s">
        <v>115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4" t="s">
        <v>116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4" t="s">
        <v>117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4" t="s">
        <v>118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4" t="s">
        <v>119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4" t="s">
        <v>120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4" t="s">
        <v>121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4" t="s">
        <v>122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4" t="s">
        <v>123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4" t="s">
        <v>124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4" t="s">
        <v>125</v>
      </c>
      <c r="E19" s="1" t="s">
        <v>59</v>
      </c>
    </row>
    <row r="20" spans="1:10" customFormat="1" x14ac:dyDescent="0.4">
      <c r="A20" s="2">
        <v>38561</v>
      </c>
      <c r="B20" s="2" t="s">
        <v>61</v>
      </c>
      <c r="C20" s="2" t="s">
        <v>62</v>
      </c>
      <c r="D20" s="4" t="s">
        <v>126</v>
      </c>
      <c r="E20" s="2" t="s">
        <v>63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4" t="s">
        <v>127</v>
      </c>
      <c r="E21" s="1" t="s">
        <v>60</v>
      </c>
      <c r="F21"/>
      <c r="G21"/>
    </row>
    <row r="22" spans="1:10" x14ac:dyDescent="0.4">
      <c r="A22" s="2">
        <v>15289</v>
      </c>
      <c r="B22" s="2" t="s">
        <v>142</v>
      </c>
      <c r="C22" s="2" t="s">
        <v>143</v>
      </c>
      <c r="D22" s="4" t="s">
        <v>144</v>
      </c>
      <c r="E22" s="2" t="s">
        <v>145</v>
      </c>
      <c r="F22"/>
      <c r="G22"/>
    </row>
    <row r="23" spans="1:10" x14ac:dyDescent="0.4">
      <c r="A23" s="2">
        <v>26167</v>
      </c>
      <c r="B23" s="2" t="s">
        <v>146</v>
      </c>
      <c r="C23" s="2" t="s">
        <v>147</v>
      </c>
      <c r="D23" s="4" t="s">
        <v>148</v>
      </c>
      <c r="E23" s="2" t="s">
        <v>149</v>
      </c>
      <c r="F23"/>
      <c r="G23"/>
    </row>
    <row r="24" spans="1:10" x14ac:dyDescent="0.4">
      <c r="A24" s="2">
        <v>3539</v>
      </c>
      <c r="B24" s="2" t="s">
        <v>150</v>
      </c>
      <c r="C24" s="2" t="s">
        <v>151</v>
      </c>
      <c r="D24" s="4" t="s">
        <v>152</v>
      </c>
      <c r="E24" s="2" t="s">
        <v>153</v>
      </c>
      <c r="F24"/>
      <c r="G24"/>
    </row>
    <row r="25" spans="1:10" x14ac:dyDescent="0.4">
      <c r="A25" s="2">
        <v>42650</v>
      </c>
      <c r="B25" s="2" t="s">
        <v>154</v>
      </c>
      <c r="C25" s="2" t="s">
        <v>155</v>
      </c>
      <c r="D25" s="4" t="s">
        <v>156</v>
      </c>
      <c r="E25" s="2" t="s">
        <v>157</v>
      </c>
      <c r="F25"/>
      <c r="G25"/>
    </row>
    <row r="26" spans="1:10" x14ac:dyDescent="0.4">
      <c r="A26" s="2">
        <v>1313</v>
      </c>
      <c r="B26" s="2" t="s">
        <v>158</v>
      </c>
      <c r="C26" s="2" t="s">
        <v>159</v>
      </c>
      <c r="D26" s="4" t="s">
        <v>160</v>
      </c>
      <c r="E26" s="2" t="s">
        <v>153</v>
      </c>
      <c r="F26"/>
      <c r="G26"/>
    </row>
    <row r="27" spans="1:10" x14ac:dyDescent="0.4">
      <c r="A27" s="2">
        <v>25167</v>
      </c>
      <c r="B27" s="2" t="s">
        <v>161</v>
      </c>
      <c r="C27" s="2" t="s">
        <v>162</v>
      </c>
      <c r="D27" s="4" t="s">
        <v>163</v>
      </c>
      <c r="E27" s="2" t="s">
        <v>164</v>
      </c>
      <c r="F27"/>
      <c r="G27"/>
    </row>
    <row r="28" spans="1:10" x14ac:dyDescent="0.4">
      <c r="A28" s="2">
        <v>11795</v>
      </c>
      <c r="B28" s="2" t="s">
        <v>165</v>
      </c>
      <c r="C28" s="2" t="s">
        <v>166</v>
      </c>
      <c r="D28" s="4" t="s">
        <v>167</v>
      </c>
      <c r="E28" s="2" t="s">
        <v>168</v>
      </c>
      <c r="F28"/>
      <c r="G28"/>
    </row>
    <row r="29" spans="1:10" x14ac:dyDescent="0.4">
      <c r="A29" s="2">
        <v>45977</v>
      </c>
      <c r="B29" s="2" t="s">
        <v>169</v>
      </c>
      <c r="C29" s="2" t="s">
        <v>170</v>
      </c>
      <c r="D29" s="4" t="s">
        <v>171</v>
      </c>
      <c r="E29" s="2" t="s">
        <v>172</v>
      </c>
      <c r="F29"/>
      <c r="G29"/>
    </row>
    <row r="30" spans="1:10" x14ac:dyDescent="0.4">
      <c r="A30" s="2">
        <v>45822</v>
      </c>
      <c r="B30" s="2" t="s">
        <v>173</v>
      </c>
      <c r="C30" s="2" t="s">
        <v>174</v>
      </c>
      <c r="D30" s="4" t="s">
        <v>175</v>
      </c>
      <c r="E30" s="2" t="s">
        <v>176</v>
      </c>
      <c r="F30"/>
      <c r="G30"/>
    </row>
    <row r="31" spans="1:10" x14ac:dyDescent="0.4">
      <c r="A31" s="2">
        <v>24199</v>
      </c>
      <c r="B31" s="2" t="s">
        <v>177</v>
      </c>
      <c r="C31" s="2" t="s">
        <v>178</v>
      </c>
      <c r="D31" s="4" t="s">
        <v>179</v>
      </c>
      <c r="E31" s="2" t="s">
        <v>180</v>
      </c>
      <c r="F31"/>
      <c r="G31"/>
    </row>
    <row r="32" spans="1:10" x14ac:dyDescent="0.4">
      <c r="A32" s="2">
        <v>32148</v>
      </c>
      <c r="B32" s="2" t="s">
        <v>181</v>
      </c>
      <c r="C32" s="2" t="s">
        <v>182</v>
      </c>
      <c r="D32" s="4" t="s">
        <v>183</v>
      </c>
      <c r="E32" s="2" t="s">
        <v>184</v>
      </c>
      <c r="F32"/>
      <c r="G32"/>
    </row>
    <row r="33" spans="1:7" x14ac:dyDescent="0.4">
      <c r="A33" s="2">
        <v>18274</v>
      </c>
      <c r="B33" s="2" t="s">
        <v>185</v>
      </c>
      <c r="C33" s="2" t="s">
        <v>186</v>
      </c>
      <c r="D33" s="4" t="s">
        <v>187</v>
      </c>
      <c r="E33" s="2" t="s">
        <v>188</v>
      </c>
      <c r="F33"/>
      <c r="G33"/>
    </row>
    <row r="34" spans="1:7" x14ac:dyDescent="0.4">
      <c r="A34" s="2">
        <v>27828</v>
      </c>
      <c r="B34" s="2" t="s">
        <v>189</v>
      </c>
      <c r="C34" s="2" t="s">
        <v>190</v>
      </c>
      <c r="D34" s="4" t="s">
        <v>191</v>
      </c>
      <c r="E34" s="2" t="s">
        <v>192</v>
      </c>
      <c r="F34"/>
      <c r="G34"/>
    </row>
    <row r="35" spans="1:7" x14ac:dyDescent="0.4">
      <c r="A35" s="2">
        <v>8778</v>
      </c>
      <c r="B35" s="2" t="s">
        <v>193</v>
      </c>
      <c r="C35" s="2" t="s">
        <v>194</v>
      </c>
      <c r="D35" s="4" t="s">
        <v>195</v>
      </c>
      <c r="E35" s="2" t="s">
        <v>196</v>
      </c>
      <c r="F35"/>
      <c r="G35"/>
    </row>
    <row r="36" spans="1:7" x14ac:dyDescent="0.4">
      <c r="A36" s="2">
        <v>46561</v>
      </c>
      <c r="B36" s="2" t="s">
        <v>197</v>
      </c>
      <c r="C36" s="2" t="s">
        <v>198</v>
      </c>
      <c r="D36" s="4" t="s">
        <v>199</v>
      </c>
      <c r="E36" s="2" t="s">
        <v>200</v>
      </c>
      <c r="F36"/>
      <c r="G36"/>
    </row>
    <row r="37" spans="1:7" x14ac:dyDescent="0.4">
      <c r="A37" s="2">
        <v>24436</v>
      </c>
      <c r="B37" s="2" t="s">
        <v>201</v>
      </c>
      <c r="C37" s="2" t="s">
        <v>202</v>
      </c>
      <c r="D37" s="4" t="s">
        <v>203</v>
      </c>
      <c r="E37" s="2" t="s">
        <v>204</v>
      </c>
      <c r="F37"/>
      <c r="G37"/>
    </row>
    <row r="38" spans="1:7" x14ac:dyDescent="0.4">
      <c r="A38" s="2">
        <v>48988</v>
      </c>
      <c r="B38" s="2" t="s">
        <v>205</v>
      </c>
      <c r="C38" s="2" t="s">
        <v>206</v>
      </c>
      <c r="D38" s="4" t="s">
        <v>207</v>
      </c>
      <c r="E38" s="2" t="s">
        <v>208</v>
      </c>
      <c r="F38"/>
      <c r="G38"/>
    </row>
    <row r="39" spans="1:7" x14ac:dyDescent="0.4">
      <c r="A39" s="2">
        <v>41349</v>
      </c>
      <c r="B39" s="2" t="s">
        <v>209</v>
      </c>
      <c r="C39" s="2" t="s">
        <v>210</v>
      </c>
      <c r="D39" s="4" t="s">
        <v>211</v>
      </c>
      <c r="E39" s="2" t="s">
        <v>212</v>
      </c>
      <c r="F39"/>
      <c r="G39"/>
    </row>
    <row r="40" spans="1:7" x14ac:dyDescent="0.4">
      <c r="A40" s="2">
        <v>9392</v>
      </c>
      <c r="B40" s="2" t="s">
        <v>213</v>
      </c>
      <c r="C40" s="2" t="s">
        <v>214</v>
      </c>
      <c r="D40" s="4" t="s">
        <v>215</v>
      </c>
      <c r="E40" s="2" t="s">
        <v>216</v>
      </c>
      <c r="F40"/>
      <c r="G40"/>
    </row>
    <row r="41" spans="1:7" x14ac:dyDescent="0.4">
      <c r="A41" s="2">
        <v>48867</v>
      </c>
      <c r="B41" s="2" t="s">
        <v>217</v>
      </c>
      <c r="C41" s="2" t="s">
        <v>218</v>
      </c>
      <c r="D41" s="4" t="s">
        <v>219</v>
      </c>
      <c r="E41" s="2" t="s">
        <v>220</v>
      </c>
      <c r="F41"/>
      <c r="G41"/>
    </row>
    <row r="42" spans="1:7" x14ac:dyDescent="0.4">
      <c r="A42" s="2">
        <v>41348</v>
      </c>
      <c r="B42" s="2" t="s">
        <v>221</v>
      </c>
      <c r="C42" s="2" t="s">
        <v>210</v>
      </c>
      <c r="D42" s="4" t="s">
        <v>211</v>
      </c>
      <c r="E42" s="2" t="s">
        <v>212</v>
      </c>
    </row>
    <row r="43" spans="1:7" x14ac:dyDescent="0.4">
      <c r="D43" s="4"/>
    </row>
    <row r="44" spans="1:7" x14ac:dyDescent="0.4">
      <c r="D44" s="4"/>
    </row>
  </sheetData>
  <hyperlinks>
    <hyperlink ref="D2" r:id="rId1" xr:uid="{09406C77-8EEF-43C8-A520-666360AE28A5}"/>
    <hyperlink ref="D3" r:id="rId2" xr:uid="{1A489DCC-01FF-4C42-9D2D-74AEF62141D2}"/>
    <hyperlink ref="D4" r:id="rId3" xr:uid="{CA4BA31F-F905-4E10-AA7F-A650B5C42146}"/>
    <hyperlink ref="D5" r:id="rId4" xr:uid="{2EE8BD06-9068-48DD-BFA6-646E9F881FCE}"/>
    <hyperlink ref="D6" r:id="rId5" xr:uid="{FBEE96C7-F792-4235-AC46-8315D4334A30}"/>
    <hyperlink ref="D7" r:id="rId6" xr:uid="{A4253201-E98D-4C62-A0F7-A98E94D5EC5D}"/>
    <hyperlink ref="D8" r:id="rId7" xr:uid="{5B499A50-CEA5-4F69-B324-4E199D0CBA2F}"/>
    <hyperlink ref="D9" r:id="rId8" xr:uid="{E756C0F2-919F-4815-BA42-7DF51B15B2BF}"/>
    <hyperlink ref="D10" r:id="rId9" xr:uid="{C294A132-7CA5-4B20-B353-3C35EC20501E}"/>
    <hyperlink ref="D11" r:id="rId10" xr:uid="{C56C09E6-4F97-4B76-9949-FC2988D11CC9}"/>
    <hyperlink ref="D12" r:id="rId11" xr:uid="{D335A931-0518-4035-9594-E0A44539C630}"/>
    <hyperlink ref="D13" r:id="rId12" xr:uid="{8C38192D-A11E-4B0C-8E4C-B2DC34AE4AA7}"/>
    <hyperlink ref="D14" r:id="rId13" xr:uid="{BA78C983-AF8C-47F2-A428-0182FE0BA96C}"/>
    <hyperlink ref="D15" r:id="rId14" xr:uid="{7FDFD5BF-A9F1-4DC5-A2A3-AEF2A761CA80}"/>
    <hyperlink ref="D16" r:id="rId15" xr:uid="{98B2D4E2-7736-4388-8EBC-8831DADF5769}"/>
    <hyperlink ref="D17" r:id="rId16" xr:uid="{4B64386E-19FA-4B81-B389-44A43F81C388}"/>
    <hyperlink ref="D18" r:id="rId17" xr:uid="{5B62A857-E0F2-4734-A2ED-A1170C21C3AB}"/>
    <hyperlink ref="D19" r:id="rId18" xr:uid="{7EC15ED2-FA3A-4DD9-B36A-5E14F1F3D2EF}"/>
    <hyperlink ref="D20" r:id="rId19" xr:uid="{D99DC989-E032-43D2-B1E4-3F5BB9D41C1E}"/>
    <hyperlink ref="D21" r:id="rId20" xr:uid="{4AF6891E-5E9D-4731-B6CA-B74ACC345B05}"/>
    <hyperlink ref="D22" r:id="rId21" xr:uid="{F0FB30C2-9E94-4EA3-B406-A438708CD4FB}"/>
    <hyperlink ref="D23" r:id="rId22" xr:uid="{884A1A2C-4E34-411C-8533-C610B3D547CD}"/>
    <hyperlink ref="D24" r:id="rId23" xr:uid="{6B77CED5-CF00-4B26-9B25-2E82C70376F6}"/>
    <hyperlink ref="D25" r:id="rId24" xr:uid="{8D2FB230-1789-4BD0-96C3-9417898369C2}"/>
    <hyperlink ref="D26" r:id="rId25" xr:uid="{BB7EF9F0-2F94-47B9-A406-E1DBCAD59148}"/>
    <hyperlink ref="D27" r:id="rId26" xr:uid="{E0713239-7781-4DD1-8826-B6BEEFF66C27}"/>
    <hyperlink ref="D28" r:id="rId27" xr:uid="{FF36201C-790D-4CD4-81CA-61AF40EF3431}"/>
    <hyperlink ref="D29" r:id="rId28" xr:uid="{32FE333A-0345-4712-A778-7BE8CE3C38DA}"/>
    <hyperlink ref="D30" r:id="rId29" xr:uid="{5D311B49-CE9E-42A0-95F3-59840DD1CC06}"/>
    <hyperlink ref="D31" r:id="rId30" xr:uid="{7FFC64E4-F870-45B9-9EAE-F412E2094E3F}"/>
    <hyperlink ref="D32" r:id="rId31" xr:uid="{EF859223-52DA-43DE-A3F1-F763E997E0F6}"/>
    <hyperlink ref="D33" r:id="rId32" xr:uid="{2F1A8077-48C4-47E6-87BB-35EC6F3EEEC7}"/>
    <hyperlink ref="D34" r:id="rId33" xr:uid="{C43DBA87-8399-4B9A-9904-25E75781DE19}"/>
    <hyperlink ref="D35" r:id="rId34" xr:uid="{145B2557-3DBC-42C0-B9DD-274E409FA39C}"/>
    <hyperlink ref="D36" r:id="rId35" xr:uid="{30DB060D-6690-46E2-84F9-D65C142341EC}"/>
    <hyperlink ref="D37" r:id="rId36" xr:uid="{260D7481-A37A-428A-B5F4-92CAFE596513}"/>
    <hyperlink ref="D38" r:id="rId37" xr:uid="{A6DB1AF6-DE34-460C-9B91-BF8FAD0EBA9D}"/>
    <hyperlink ref="D39" r:id="rId38" xr:uid="{784554C1-3956-4CC5-9175-9D9BBAB3FBD1}"/>
    <hyperlink ref="D40" r:id="rId39" xr:uid="{7085867A-BC3A-4CC0-B4DF-FB14A2D77585}"/>
    <hyperlink ref="D41" r:id="rId40" xr:uid="{724FD1CA-775A-4778-9B36-0355FE595BC6}"/>
    <hyperlink ref="D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8" sqref="C38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261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0.61458333333333315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231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225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232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228</v>
      </c>
      <c r="B14" s="10" t="s">
        <v>258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229</v>
      </c>
      <c r="B15" s="10" t="s">
        <v>259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226</v>
      </c>
      <c r="B16" s="10" t="s">
        <v>260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222</v>
      </c>
      <c r="B17" s="14"/>
      <c r="H17" s="36"/>
      <c r="J17" s="36"/>
    </row>
    <row r="18" spans="1:13" x14ac:dyDescent="0.4">
      <c r="A18" s="9" t="s">
        <v>223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0.39583333333333331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90</v>
      </c>
      <c r="B21" s="10" t="s">
        <v>75</v>
      </c>
      <c r="C21" s="31" t="s">
        <v>222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 x14ac:dyDescent="0.4">
      <c r="A22" s="9" t="s">
        <v>224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4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 x14ac:dyDescent="0.4">
      <c r="A26" s="38">
        <f>MAX(C19:D19) + C22*TIME(0, C23, 0) + TIME(0, C25, 0)*FLOOR((C22 - IF(C21="Yes", 3, 2))/C24, 1)</f>
        <v>0.54791666666666661</v>
      </c>
      <c r="B26" s="10" t="s">
        <v>82</v>
      </c>
      <c r="C26" s="15">
        <f>IF(COUNTBLANK(C15:C25) &gt; 2, "N/A", A26 + IF(A26&gt;C15, TIME(0, MAX(0, C16 - C25), 0), 0))</f>
        <v>0.56180555555555545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233</v>
      </c>
      <c r="D28" s="34" t="s">
        <v>234</v>
      </c>
      <c r="E28" s="33" t="s">
        <v>235</v>
      </c>
      <c r="F28" s="33" t="s">
        <v>236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237</v>
      </c>
      <c r="D29" s="34" t="s">
        <v>238</v>
      </c>
      <c r="E29" s="33" t="s">
        <v>239</v>
      </c>
      <c r="F29" s="33" t="s">
        <v>240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241</v>
      </c>
      <c r="D30" s="34" t="s">
        <v>242</v>
      </c>
      <c r="E30" s="33" t="s">
        <v>243</v>
      </c>
      <c r="F30" s="33" t="s">
        <v>244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227</v>
      </c>
      <c r="C33" s="33" t="s">
        <v>245</v>
      </c>
      <c r="D33" s="34" t="s">
        <v>246</v>
      </c>
      <c r="E33" s="33" t="s">
        <v>247</v>
      </c>
      <c r="F33" s="33" t="s">
        <v>248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3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230</v>
      </c>
      <c r="B38" s="10" t="s">
        <v>249</v>
      </c>
      <c r="C38" s="31" t="s">
        <v>222</v>
      </c>
    </row>
    <row r="39" spans="1:13" x14ac:dyDescent="0.4">
      <c r="A39" s="9" t="s">
        <v>257</v>
      </c>
      <c r="B39" s="10" t="s">
        <v>256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250</v>
      </c>
      <c r="D40" s="34" t="s">
        <v>251</v>
      </c>
      <c r="E40" s="34" t="s">
        <v>253</v>
      </c>
    </row>
    <row r="41" spans="1:13" s="34" customFormat="1" x14ac:dyDescent="0.4">
      <c r="A41" s="35" t="s">
        <v>141</v>
      </c>
      <c r="B41" s="32" t="s">
        <v>255</v>
      </c>
      <c r="D41" s="34" t="s">
        <v>252</v>
      </c>
      <c r="E41" s="34" t="s">
        <v>254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2019-05-03T18:23:34Z</dcterms:modified>
</cp:coreProperties>
</file>