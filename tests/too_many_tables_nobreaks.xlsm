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8_{26A7A319-4BB0-4DD1-AB37-7FFB3303F2D6}" xr6:coauthVersionLast="43" xr6:coauthVersionMax="43" xr10:uidLastSave="{00000000-0000-0000-0000-000000000000}"/>
  <bookViews>
    <workbookView xWindow="1406" yWindow="1406" windowWidth="19285" windowHeight="12120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26" l="1"/>
  <c r="D25" i="26" l="1"/>
  <c r="C35" i="26" l="1"/>
  <c r="D37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<sst xmlns="http://schemas.openxmlformats.org/spreadsheetml/2006/main" count="270" uniqueCount="264">
  <si>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</si>
  <si>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</si>
  <si>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</si>
  <si>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</si>
  <si>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</si>
  <si>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</si>
  <si>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</si>
  <si>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</si>
  <si>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</si>
  <si>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</si>
  <si>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</si>
  <si>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</si>
  <si>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</si>
  <si>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</si>
  <si>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</si>
  <si>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</si>
  <si>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</si>
  <si>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</si>
  <si>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</si>
  <si>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</si>
  <si>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</si>
  <si>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</si>
  <si>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</si>
  <si>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</si>
  <si>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</si>
  <si>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</si>
  <si>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</si>
  <si>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</si>
  <si>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</si>
  <si>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</si>
  <si>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</si>
  <si>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</si>
  <si>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</si>
  <si>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</si>
  <si>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</si>
  <si>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</si>
  <si>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</si>
  <si>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</si>
  <si>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</si>
  <si>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</si>
  <si>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</si>
  <si>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</si>
  <si>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</si>
  <si>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</si>
  <si>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</si>
  <si>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</si>
  <si>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</si>
  <si>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</si>
  <si>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</si>
  <si>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</si>
  <si>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</si>
  <si>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</si>
  <si>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</si>
  <si>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</si>
  <si>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</si>
  <si>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</si>
  <si>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</si>
  <si>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</si>
  <si>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</si>
  <si>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</si>
  <si>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</si>
  <si>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</si>
  <si>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</si>
  <si>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</si>
  <si>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</si>
  <si>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</si>
  <si>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</si>
  <si>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</si>
  <si>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</si>
  <si>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</si>
  <si>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</si>
  <si>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</si>
  <si>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</si>
  <si>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</si>
  <si>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</si>
  <si>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</si>
  <si>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</si>
  <si>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</si>
  <si>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</si>
  <si>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</si>
  <si>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</si>
  <si>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</si>
  <si>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</si>
  <si>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</si>
  <si>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</si>
  <si>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</si>
  <si>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</si>
  <si>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</si>
  <si>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</si>
  <si>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</si>
  <si>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</si>
  <si>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</si>
  <si>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</si>
  <si>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</si>
  <si>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</si>
  <si>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</si>
  <si>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</si>
  <si>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</si>
  <si>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</si>
  <si>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</si>
  <si>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</si>
  <si>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</si>
  <si>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</si>
  <si>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</si>
  <si>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</si>
  <si>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</si>
  <si>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</si>
  <si>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</si>
  <si>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</si>
  <si>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</si>
  <si>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</si>
  <si>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</si>
  <si>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</si>
  <si>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</si>
  <si>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</si>
  <si>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</si>
  <si>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</si>
  <si>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</si>
  <si>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</si>
  <si>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</si>
  <si>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</si>
  <si>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</si>
  <si>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</si>
  <si>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</si>
  <si>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</si>
  <si>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</si>
  <si>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</si>
  <si>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</si>
  <si>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</si>
  <si>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</si>
  <si>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</si>
  <si>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</si>
  <si>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</si>
  <si>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</si>
  <si>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</si>
  <si>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</si>
  <si>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</si>
  <si>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</si>
  <si>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</si>
  <si>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</si>
  <si>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</si>
  <si>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</si>
  <si>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</si>
  <si>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</si>
  <si>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</si>
  <si>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</si>
  <si>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</si>
  <si>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</si>
  <si>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</si>
  <si>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</si>
  <si>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</si>
  <si>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</si>
  <si>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</si>
  <si>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</si>
  <si>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</si>
  <si>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</si>
  <si>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</si>
  <si>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</si>
  <si>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</si>
  <si>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</si>
  <si>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</si>
  <si>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</si>
  <si>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</si>
  <si>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</si>
  <si>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</si>
  <si>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</si>
  <si>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</si>
  <si>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</si>
  <si>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</si>
  <si>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</si>
  <si>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</si>
  <si>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</si>
  <si>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</si>
  <si>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</si>
  <si>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</si>
  <si>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</si>
  <si>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</si>
  <si>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</si>
  <si>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</si>
  <si>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</si>
  <si>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</si>
  <si>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</si>
  <si>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</si>
  <si>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</si>
  <si>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</si>
  <si>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</si>
  <si>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</si>
  <si>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</si>
  <si>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</si>
  <si>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</si>
  <si>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</si>
  <si>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</si>
  <si>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</si>
  <si>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</si>
  <si>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</si>
  <si>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</si>
  <si>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</si>
  <si>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</si>
  <si>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</si>
  <si>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</si>
  <si>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</si>
  <si>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</si>
  <si>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</si>
  <si>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</si>
  <si>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</si>
  <si>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</si>
  <si>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</si>
  <si>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</si>
  <si>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</si>
  <si>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</si>
  <si>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</si>
  <si>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</si>
  <si>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</si>
  <si>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</si>
  <si>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</si>
  <si>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</si>
  <si>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</si>
  <si>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</si>
  <si>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</si>
  <si>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</si>
  <si>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</si>
  <si>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</si>
  <si>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</si>
  <si>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</si>
  <si>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</si>
  <si>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</si>
  <si>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</si>
  <si>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</si>
  <si>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</si>
  <si>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</si>
  <si>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Division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</si>
  <si>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</si>
  <si>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</si>
  <si>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</si>
  <si>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</si>
  <si>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</si>
  <si>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</si>
  <si>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</si>
  <si>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</si>
  <si>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</si>
  <si>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</si>
  <si>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</si>
  <si>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</si>
  <si>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</si>
  <si>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</si>
  <si>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</si>
  <si>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</si>
  <si>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</si>
  <si>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</si>
  <si>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</si>
  <si>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</si>
  <si>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</si>
  <si>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</si>
  <si>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</si>
  <si>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</si>
  <si>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</si>
  <si>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</si>
  <si>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Hubert</t>
  </si>
  <si>
    <t>Louis</t>
  </si>
  <si>
    <t>Dewford</t>
  </si>
  <si>
    <t>Scrooge</t>
  </si>
  <si>
    <t>Webby</t>
  </si>
  <si>
    <t>Beakley</t>
  </si>
  <si>
    <t>too many tables nobreaks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</si>
</sst>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8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" sqref="C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230</v>
      </c>
      <c r="C1" s="3" t="s">
        <v>1</v>
      </c>
      <c r="D1" s="3" t="s">
        <v>2</v>
      </c>
      <c r="E1" s="3" t="s">
        <v>106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107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108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109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110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111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112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113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114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115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116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117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118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119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120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121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122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123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124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125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126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141</v>
      </c>
      <c r="D22" s="2" t="s">
        <v>142</v>
      </c>
      <c r="E22" s="4" t="s">
        <v>143</v>
      </c>
      <c r="F22" s="2" t="s">
        <v>144</v>
      </c>
      <c r="G22"/>
      <c r="H22"/>
    </row>
    <row r="23" spans="1:11" x14ac:dyDescent="0.4">
      <c r="A23" s="2">
        <v>26167</v>
      </c>
      <c r="B23" s="2">
        <v>2</v>
      </c>
      <c r="C23" s="2" t="s">
        <v>145</v>
      </c>
      <c r="D23" s="2" t="s">
        <v>146</v>
      </c>
      <c r="E23" s="4" t="s">
        <v>147</v>
      </c>
      <c r="F23" s="2" t="s">
        <v>148</v>
      </c>
      <c r="G23"/>
      <c r="H23"/>
    </row>
    <row r="24" spans="1:11" x14ac:dyDescent="0.4">
      <c r="A24" s="2">
        <v>3539</v>
      </c>
      <c r="B24" s="2">
        <v>1</v>
      </c>
      <c r="C24" s="2" t="s">
        <v>149</v>
      </c>
      <c r="D24" s="2" t="s">
        <v>150</v>
      </c>
      <c r="E24" s="4" t="s">
        <v>151</v>
      </c>
      <c r="F24" s="2" t="s">
        <v>152</v>
      </c>
      <c r="G24"/>
      <c r="H24"/>
    </row>
    <row r="25" spans="1:11" x14ac:dyDescent="0.4">
      <c r="A25" s="2">
        <v>42650</v>
      </c>
      <c r="B25" s="2">
        <v>1</v>
      </c>
      <c r="C25" s="2" t="s">
        <v>153</v>
      </c>
      <c r="D25" s="2" t="s">
        <v>154</v>
      </c>
      <c r="E25" s="4" t="s">
        <v>155</v>
      </c>
      <c r="F25" s="2" t="s">
        <v>156</v>
      </c>
      <c r="G25"/>
      <c r="H25"/>
    </row>
    <row r="26" spans="1:11" x14ac:dyDescent="0.4">
      <c r="A26" s="2">
        <v>1313</v>
      </c>
      <c r="B26" s="2">
        <v>2</v>
      </c>
      <c r="C26" s="2" t="s">
        <v>157</v>
      </c>
      <c r="D26" s="2" t="s">
        <v>158</v>
      </c>
      <c r="E26" s="4" t="s">
        <v>159</v>
      </c>
      <c r="F26" s="2" t="s">
        <v>152</v>
      </c>
      <c r="G26"/>
      <c r="H26"/>
    </row>
    <row r="27" spans="1:11" x14ac:dyDescent="0.4">
      <c r="A27" s="2">
        <v>25167</v>
      </c>
      <c r="B27" s="2">
        <v>1</v>
      </c>
      <c r="C27" s="2" t="s">
        <v>160</v>
      </c>
      <c r="D27" s="2" t="s">
        <v>161</v>
      </c>
      <c r="E27" s="4" t="s">
        <v>162</v>
      </c>
      <c r="F27" s="2" t="s">
        <v>163</v>
      </c>
      <c r="G27"/>
      <c r="H27"/>
    </row>
    <row r="28" spans="1:11" x14ac:dyDescent="0.4">
      <c r="A28" s="2">
        <v>11795</v>
      </c>
      <c r="B28" s="2">
        <v>1</v>
      </c>
      <c r="C28" s="2" t="s">
        <v>164</v>
      </c>
      <c r="D28" s="2" t="s">
        <v>165</v>
      </c>
      <c r="E28" s="4" t="s">
        <v>166</v>
      </c>
      <c r="F28" s="2" t="s">
        <v>167</v>
      </c>
      <c r="G28"/>
      <c r="H28"/>
    </row>
    <row r="29" spans="1:11" x14ac:dyDescent="0.4">
      <c r="A29" s="2">
        <v>45977</v>
      </c>
      <c r="B29" s="2">
        <v>1</v>
      </c>
      <c r="C29" s="2" t="s">
        <v>168</v>
      </c>
      <c r="D29" s="2" t="s">
        <v>169</v>
      </c>
      <c r="E29" s="4" t="s">
        <v>170</v>
      </c>
      <c r="F29" s="2" t="s">
        <v>171</v>
      </c>
      <c r="G29"/>
      <c r="H29"/>
    </row>
    <row r="30" spans="1:11" x14ac:dyDescent="0.4">
      <c r="A30" s="2">
        <v>45822</v>
      </c>
      <c r="B30" s="2">
        <v>1</v>
      </c>
      <c r="C30" s="2" t="s">
        <v>172</v>
      </c>
      <c r="D30" s="2" t="s">
        <v>173</v>
      </c>
      <c r="E30" s="4" t="s">
        <v>174</v>
      </c>
      <c r="F30" s="2" t="s">
        <v>175</v>
      </c>
      <c r="G30"/>
      <c r="H30"/>
    </row>
    <row r="31" spans="1:11" x14ac:dyDescent="0.4">
      <c r="A31" s="2">
        <v>24199</v>
      </c>
      <c r="B31" s="2">
        <v>1</v>
      </c>
      <c r="C31" s="2" t="s">
        <v>176</v>
      </c>
      <c r="D31" s="2" t="s">
        <v>177</v>
      </c>
      <c r="E31" s="4" t="s">
        <v>178</v>
      </c>
      <c r="F31" s="2" t="s">
        <v>179</v>
      </c>
      <c r="G31"/>
      <c r="H31"/>
    </row>
    <row r="32" spans="1:11" x14ac:dyDescent="0.4">
      <c r="A32" s="2">
        <v>32148</v>
      </c>
      <c r="B32" s="2">
        <v>2</v>
      </c>
      <c r="C32" s="2" t="s">
        <v>180</v>
      </c>
      <c r="D32" s="2" t="s">
        <v>181</v>
      </c>
      <c r="E32" s="4" t="s">
        <v>182</v>
      </c>
      <c r="F32" s="2" t="s">
        <v>183</v>
      </c>
      <c r="G32"/>
      <c r="H32"/>
    </row>
    <row r="33" spans="1:8" x14ac:dyDescent="0.4">
      <c r="A33" s="2">
        <v>18274</v>
      </c>
      <c r="B33" s="2">
        <v>1</v>
      </c>
      <c r="C33" s="2" t="s">
        <v>184</v>
      </c>
      <c r="D33" s="2" t="s">
        <v>185</v>
      </c>
      <c r="E33" s="4" t="s">
        <v>186</v>
      </c>
      <c r="F33" s="2" t="s">
        <v>187</v>
      </c>
      <c r="G33"/>
      <c r="H33"/>
    </row>
    <row r="34" spans="1:8" x14ac:dyDescent="0.4">
      <c r="A34" s="2">
        <v>27828</v>
      </c>
      <c r="B34" s="2">
        <v>2</v>
      </c>
      <c r="C34" s="2" t="s">
        <v>188</v>
      </c>
      <c r="D34" s="2" t="s">
        <v>189</v>
      </c>
      <c r="E34" s="4" t="s">
        <v>190</v>
      </c>
      <c r="F34" s="2" t="s">
        <v>191</v>
      </c>
      <c r="G34"/>
      <c r="H34"/>
    </row>
    <row r="35" spans="1:8" x14ac:dyDescent="0.4">
      <c r="A35" s="2">
        <v>8778</v>
      </c>
      <c r="B35" s="2">
        <v>1</v>
      </c>
      <c r="C35" s="2" t="s">
        <v>192</v>
      </c>
      <c r="D35" s="2" t="s">
        <v>193</v>
      </c>
      <c r="E35" s="4" t="s">
        <v>194</v>
      </c>
      <c r="F35" s="2" t="s">
        <v>195</v>
      </c>
      <c r="G35"/>
      <c r="H35"/>
    </row>
    <row r="36" spans="1:8" x14ac:dyDescent="0.4">
      <c r="A36" s="2">
        <v>46561</v>
      </c>
      <c r="B36" s="2">
        <v>1</v>
      </c>
      <c r="C36" s="2" t="s">
        <v>196</v>
      </c>
      <c r="D36" s="2" t="s">
        <v>197</v>
      </c>
      <c r="E36" s="4" t="s">
        <v>198</v>
      </c>
      <c r="F36" s="2" t="s">
        <v>199</v>
      </c>
      <c r="G36"/>
      <c r="H36"/>
    </row>
    <row r="37" spans="1:8" x14ac:dyDescent="0.4">
      <c r="A37" s="2">
        <v>24436</v>
      </c>
      <c r="B37" s="2">
        <v>1</v>
      </c>
      <c r="C37" s="2" t="s">
        <v>200</v>
      </c>
      <c r="D37" s="2" t="s">
        <v>201</v>
      </c>
      <c r="E37" s="4" t="s">
        <v>202</v>
      </c>
      <c r="F37" s="2" t="s">
        <v>203</v>
      </c>
      <c r="G37"/>
      <c r="H37"/>
    </row>
    <row r="38" spans="1:8" x14ac:dyDescent="0.4">
      <c r="A38" s="2">
        <v>48988</v>
      </c>
      <c r="B38" s="2">
        <v>1</v>
      </c>
      <c r="C38" s="2" t="s">
        <v>204</v>
      </c>
      <c r="D38" s="2" t="s">
        <v>205</v>
      </c>
      <c r="E38" s="4" t="s">
        <v>206</v>
      </c>
      <c r="F38" s="2" t="s">
        <v>207</v>
      </c>
      <c r="G38"/>
      <c r="H38"/>
    </row>
    <row r="39" spans="1:8" x14ac:dyDescent="0.4">
      <c r="A39" s="2">
        <v>41349</v>
      </c>
      <c r="B39" s="2">
        <v>2</v>
      </c>
      <c r="C39" s="2" t="s">
        <v>208</v>
      </c>
      <c r="D39" s="2" t="s">
        <v>209</v>
      </c>
      <c r="E39" s="4" t="s">
        <v>210</v>
      </c>
      <c r="F39" s="2" t="s">
        <v>211</v>
      </c>
      <c r="G39"/>
      <c r="H39"/>
    </row>
    <row r="40" spans="1:8" x14ac:dyDescent="0.4">
      <c r="A40" s="2">
        <v>9392</v>
      </c>
      <c r="B40" s="2">
        <v>2</v>
      </c>
      <c r="C40" s="2" t="s">
        <v>212</v>
      </c>
      <c r="D40" s="2" t="s">
        <v>213</v>
      </c>
      <c r="E40" s="4" t="s">
        <v>214</v>
      </c>
      <c r="F40" s="2" t="s">
        <v>215</v>
      </c>
      <c r="G40"/>
      <c r="H40"/>
    </row>
    <row r="41" spans="1:8" x14ac:dyDescent="0.4">
      <c r="A41" s="2">
        <v>48867</v>
      </c>
      <c r="B41" s="2">
        <v>2</v>
      </c>
      <c r="C41" s="2" t="s">
        <v>216</v>
      </c>
      <c r="D41" s="2" t="s">
        <v>217</v>
      </c>
      <c r="E41" s="4" t="s">
        <v>218</v>
      </c>
      <c r="F41" s="2" t="s">
        <v>219</v>
      </c>
      <c r="G41"/>
      <c r="H41"/>
    </row>
    <row r="42" spans="1:8" x14ac:dyDescent="0.4">
      <c r="A42" s="2">
        <v>41348</v>
      </c>
      <c r="B42" s="2">
        <v>2</v>
      </c>
      <c r="C42" s="2" t="s">
        <v>220</v>
      </c>
      <c r="D42" s="2" t="s">
        <v>209</v>
      </c>
      <c r="E42" s="4" t="s">
        <v>210</v>
      </c>
      <c r="F42" s="2" t="s">
        <v>211</v>
      </c>
    </row>
    <row r="43" spans="1:8" x14ac:dyDescent="0.4">
      <c r="E43" s="4"/>
    </row>
    <row r="44" spans="1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  <hyperlink ref="E23" r:id="rId22" xr:uid="{884A1A2C-4E34-411C-8533-C610B3D547CD}"/>
    <hyperlink ref="E24" r:id="rId23" xr:uid="{6B77CED5-CF00-4B26-9B25-2E82C70376F6}"/>
    <hyperlink ref="E25" r:id="rId24" xr:uid="{8D2FB230-1789-4BD0-96C3-9417898369C2}"/>
    <hyperlink ref="E26" r:id="rId25" xr:uid="{BB7EF9F0-2F94-47B9-A406-E1DBCAD59148}"/>
    <hyperlink ref="E27" r:id="rId26" xr:uid="{E0713239-7781-4DD1-8826-B6BEEFF66C27}"/>
    <hyperlink ref="E28" r:id="rId27" xr:uid="{FF36201C-790D-4CD4-81CA-61AF40EF3431}"/>
    <hyperlink ref="E29" r:id="rId28" xr:uid="{32FE333A-0345-4712-A778-7BE8CE3C38DA}"/>
    <hyperlink ref="E30" r:id="rId29" xr:uid="{5D311B49-CE9E-42A0-95F3-59840DD1CC06}"/>
    <hyperlink ref="E31" r:id="rId30" xr:uid="{7FFC64E4-F870-45B9-9EAE-F412E2094E3F}"/>
    <hyperlink ref="E32" r:id="rId31" xr:uid="{EF859223-52DA-43DE-A3F1-F763E997E0F6}"/>
    <hyperlink ref="E33" r:id="rId32" xr:uid="{2F1A8077-48C4-47E6-87BB-35EC6F3EEEC7}"/>
    <hyperlink ref="E34" r:id="rId33" xr:uid="{C43DBA87-8399-4B9A-9904-25E75781DE19}"/>
    <hyperlink ref="E35" r:id="rId34" xr:uid="{145B2557-3DBC-42C0-B9DD-274E409FA39C}"/>
    <hyperlink ref="E36" r:id="rId35" xr:uid="{30DB060D-6690-46E2-84F9-D65C142341EC}"/>
    <hyperlink ref="E37" r:id="rId36" xr:uid="{260D7481-A37A-428A-B5F4-92CAFE596513}"/>
    <hyperlink ref="E38" r:id="rId37" xr:uid="{A6DB1AF6-DE34-460C-9B91-BF8FAD0EBA9D}"/>
    <hyperlink ref="E39" r:id="rId38" xr:uid="{784554C1-3956-4CC5-9175-9D9BBAB3FBD1}"/>
    <hyperlink ref="E40" r:id="rId39" xr:uid="{7085867A-BC3A-4CC0-B4DF-FB14A2D77585}"/>
    <hyperlink ref="E41" r:id="rId40" xr:uid="{724FD1CA-775A-4778-9B36-0355FE595BC6}"/>
    <hyperlink ref="E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40" sqref="C40"/>
    </sheetView>
  </sheetViews>
  <sheetFormatPr defaultRowHeight="14.6" x14ac:dyDescent="0.4"/>
  <cols>
    <col min="1" max="1" width="22.07421875" style="9" hidden="1" customWidth="1"/>
    <col min="2" max="2" width="64.61328125" style="10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102</v>
      </c>
      <c r="B1" s="10" t="s">
        <v>101</v>
      </c>
      <c r="C1" s="11" t="s">
        <v>103</v>
      </c>
    </row>
    <row r="2" spans="1:13" s="26" customFormat="1" ht="18.45" x14ac:dyDescent="0.5">
      <c r="A2" s="27" t="s">
        <v>96</v>
      </c>
      <c r="B2" s="28" t="s">
        <v>66</v>
      </c>
      <c r="C2" s="42" t="s">
        <v>263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IF(OR(ISBLANK(C37),C26="N/A"),"N/A",C26+TIME(0,C16-C23,0)+TIME(0,E34,0)+(CEILING(C3/(2*C37),1)+IF(C39&gt;0,FLOOR(C3/(2*C39),1),0))*(TIME(0,SUM(F34:K34),0)))</f>
        <v>0.59999999999999987</v>
      </c>
    </row>
    <row r="6" spans="1:13" x14ac:dyDescent="0.4">
      <c r="A6" s="9" t="s">
        <v>86</v>
      </c>
      <c r="B6" s="10" t="s">
        <v>67</v>
      </c>
      <c r="C6" s="5" t="s">
        <v>68</v>
      </c>
      <c r="D6" s="40" t="s">
        <v>85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87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127</v>
      </c>
      <c r="B8" s="10" t="s">
        <v>134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128</v>
      </c>
      <c r="B9" s="10" t="s">
        <v>133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132</v>
      </c>
      <c r="B10" s="10" t="s">
        <v>135</v>
      </c>
      <c r="C10" s="31" t="s">
        <v>239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129</v>
      </c>
      <c r="B11" s="10" t="s">
        <v>131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130</v>
      </c>
      <c r="B12" s="10" t="s">
        <v>224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136</v>
      </c>
      <c r="B13" s="10" t="s">
        <v>137</v>
      </c>
      <c r="C13" s="31" t="s">
        <v>240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227</v>
      </c>
      <c r="B14" s="10" t="s">
        <v>234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228</v>
      </c>
      <c r="B15" s="10" t="s">
        <v>235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225</v>
      </c>
      <c r="B16" s="10" t="s">
        <v>236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221</v>
      </c>
      <c r="B17" s="14"/>
      <c r="H17" s="36"/>
      <c r="J17" s="36"/>
    </row>
    <row r="18" spans="1:13" x14ac:dyDescent="0.4">
      <c r="A18" s="9" t="s">
        <v>222</v>
      </c>
      <c r="B18" s="14" t="s">
        <v>72</v>
      </c>
      <c r="D18" s="16" t="s">
        <v>69</v>
      </c>
    </row>
    <row r="19" spans="1:13" x14ac:dyDescent="0.4">
      <c r="A19" s="9" t="s">
        <v>100</v>
      </c>
      <c r="B19" s="10" t="s">
        <v>80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88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89</v>
      </c>
      <c r="B21" s="10" t="s">
        <v>75</v>
      </c>
      <c r="C21" s="31" t="s">
        <v>222</v>
      </c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223</v>
      </c>
      <c r="B22" s="10" t="s">
        <v>82</v>
      </c>
      <c r="C22" s="18">
        <f>IF(ISBLANK(C20), "N/A", IF(C21="Yes",1+_xlfn.CEILING.MATH((C3-1)/C20), _xlfn.CEILING.MATH(C3/C20)))</f>
        <v>11</v>
      </c>
      <c r="D22" s="12" t="s">
        <v>83</v>
      </c>
      <c r="E22" s="19"/>
      <c r="F22" s="11"/>
      <c r="J22" s="37"/>
    </row>
    <row r="23" spans="1:13" x14ac:dyDescent="0.4">
      <c r="A23" s="9" t="s">
        <v>90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91</v>
      </c>
      <c r="B24" s="10" t="s">
        <v>237</v>
      </c>
      <c r="C24" s="5">
        <v>4</v>
      </c>
      <c r="D24" s="12">
        <v>3</v>
      </c>
    </row>
    <row r="25" spans="1:13" x14ac:dyDescent="0.4">
      <c r="A25" s="9" t="s">
        <v>92</v>
      </c>
      <c r="B25" s="10" t="s">
        <v>79</v>
      </c>
      <c r="C25" s="5">
        <v>10</v>
      </c>
      <c r="D25" s="12">
        <f>IF(OR(C24 = 0, ISBLANK(C24), ISBLANK(C23)), "", MAX(C24*(20 - C23), 0))</f>
        <v>10</v>
      </c>
    </row>
    <row r="26" spans="1:13" x14ac:dyDescent="0.4">
      <c r="A26" s="38">
        <f>MAX(C19:D19) + C22*TIME(0, C23, 0) + IF(C24 &gt; 0, TIME(0, C25, 0)*FLOOR((C22 - IF(C21="Yes", 3, 2))/C24, 1), 0)</f>
        <v>0.54999999999999993</v>
      </c>
      <c r="B26" s="10" t="s">
        <v>81</v>
      </c>
      <c r="C26" s="15">
        <f>IF(COUNTBLANK(C15:C25) &gt; 2, "N/A", A26 + IF(A26&gt;C15, TIME(0, MAX(0, C16 - C25), 0), 0))</f>
        <v>0.56388888888888877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97</v>
      </c>
      <c r="B28" s="32" t="s">
        <v>64</v>
      </c>
      <c r="C28" s="33" t="s">
        <v>241</v>
      </c>
      <c r="D28" s="34" t="s">
        <v>242</v>
      </c>
      <c r="E28" s="33" t="s">
        <v>243</v>
      </c>
      <c r="F28" s="33" t="s">
        <v>244</v>
      </c>
      <c r="K28" s="34"/>
      <c r="L28" s="34"/>
      <c r="M28" s="34"/>
    </row>
    <row r="29" spans="1:13" s="33" customFormat="1" x14ac:dyDescent="0.4">
      <c r="A29" s="35" t="s">
        <v>98</v>
      </c>
      <c r="B29" s="32" t="s">
        <v>65</v>
      </c>
      <c r="C29" s="33" t="s">
        <v>245</v>
      </c>
      <c r="D29" s="34" t="s">
        <v>246</v>
      </c>
      <c r="E29" s="33" t="s">
        <v>247</v>
      </c>
      <c r="F29" s="33" t="s">
        <v>248</v>
      </c>
      <c r="K29" s="34"/>
      <c r="L29" s="34"/>
      <c r="M29" s="34"/>
    </row>
    <row r="30" spans="1:13" s="33" customFormat="1" x14ac:dyDescent="0.4">
      <c r="A30" s="35" t="s">
        <v>99</v>
      </c>
      <c r="B30" s="32" t="s">
        <v>70</v>
      </c>
      <c r="C30" s="33" t="s">
        <v>249</v>
      </c>
      <c r="D30" s="34" t="s">
        <v>250</v>
      </c>
      <c r="E30" s="33" t="s">
        <v>251</v>
      </c>
      <c r="F30" s="33" t="s">
        <v>252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94</v>
      </c>
      <c r="B33" s="32" t="s">
        <v>226</v>
      </c>
      <c r="C33" s="33" t="s">
        <v>253</v>
      </c>
      <c r="D33" s="34" t="s">
        <v>254</v>
      </c>
      <c r="E33" s="33" t="s">
        <v>255</v>
      </c>
      <c r="F33" s="33" t="s">
        <v>256</v>
      </c>
      <c r="K33" s="34"/>
      <c r="L33" s="34"/>
      <c r="M33" s="34"/>
    </row>
    <row r="34" spans="1:13" s="7" customFormat="1" x14ac:dyDescent="0.4">
      <c r="A34" s="9" t="s">
        <v>95</v>
      </c>
      <c r="B34" s="10" t="s">
        <v>138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139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93</v>
      </c>
      <c r="B37" s="10" t="s">
        <v>84</v>
      </c>
      <c r="C37" s="5">
        <v>6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229</v>
      </c>
      <c r="B38" s="10" t="s">
        <v>231</v>
      </c>
      <c r="C38" s="31" t="s">
        <v>222</v>
      </c>
    </row>
    <row r="39" spans="1:13" x14ac:dyDescent="0.4">
      <c r="A39" s="9" t="s">
        <v>233</v>
      </c>
      <c r="B39" s="10" t="s">
        <v>238</v>
      </c>
      <c r="C39" s="30">
        <v>0</v>
      </c>
    </row>
    <row r="40" spans="1:13" s="34" customFormat="1" x14ac:dyDescent="0.4">
      <c r="A40" s="35" t="s">
        <v>105</v>
      </c>
      <c r="B40" s="32" t="s">
        <v>104</v>
      </c>
      <c r="C40" s="34" t="s">
        <v>257</v>
      </c>
      <c r="D40" s="34" t="s">
        <v>258</v>
      </c>
      <c r="E40" s="34" t="s">
        <v>259</v>
      </c>
      <c r="F40" s="34" t="s">
        <v>260</v>
      </c>
      <c r="G40" s="34" t="s">
        <v>261</v>
      </c>
      <c r="H40" s="34" t="s">
        <v>262</v>
      </c>
    </row>
    <row r="41" spans="1:13" s="34" customFormat="1" x14ac:dyDescent="0.4">
      <c r="A41" s="35" t="s">
        <v>140</v>
      </c>
      <c r="B41" s="32" t="s">
        <v>232</v>
      </c>
    </row>
  </sheetData>
  <sheetProtection sheet="1" selectLockedCells="1"/>
  <mergeCells count="3">
    <mergeCell ref="E3:I3"/>
    <mergeCell ref="D6:L7"/>
    <mergeCell ref="C2:J2"/>
  </mergeCells>
  <conditionalFormatting sqref="A28:B30 G28:XFD30">
    <cfRule type="expression" dxfId="17" priority="17">
      <formula>AND(COLUMN() - 2 &gt; $C$20, NOT(ISBLANK(A28)))</formula>
    </cfRule>
    <cfRule type="expression" dxfId="16" priority="19">
      <formula>AND(COLUMN() &gt; 2, COLUMN()  - 3 &lt; $C$20, NOT(ISBLANK(A28)))</formula>
    </cfRule>
    <cfRule type="expression" dxfId="15" priority="20">
      <formula>AND(COLUMN() &gt; 2, COLUMN() - 3 &lt; $C$20)</formula>
    </cfRule>
  </conditionalFormatting>
  <conditionalFormatting sqref="A33:B33 G33:XFD33">
    <cfRule type="expression" dxfId="14" priority="16">
      <formula>AND(COLUMN() - 4 &lt; COUNTA(A$33:$C$33), COLUMN() &gt; 2)</formula>
    </cfRule>
  </conditionalFormatting>
  <conditionalFormatting sqref="A34:B34 G34:XFD34">
    <cfRule type="expression" dxfId="13" priority="12">
      <formula>AND(COLUMN() - 4 &lt; COUNTA(A$34:$C$34), COLUMN() &gt; 2, NOT(ISBLANK(A33)))</formula>
    </cfRule>
  </conditionalFormatting>
  <conditionalFormatting sqref="A40:B40 I40:XFD40">
    <cfRule type="expression" dxfId="12" priority="21">
      <formula>AND(COLUMN() - 2 &gt; $C$37, NOT(ISBLANK(A40)))</formula>
    </cfRule>
    <cfRule type="expression" dxfId="11" priority="22">
      <formula>AND(COLUMN() &gt; 2, COLUMN()  - 3 &lt; $C$37, NOT(ISBLANK(A40)))</formula>
    </cfRule>
    <cfRule type="expression" dxfId="10" priority="23">
      <formula>AND(COLUMN() &gt; 2, COLUMN() - 3 &lt; $C$37)</formula>
    </cfRule>
  </conditionalFormatting>
  <conditionalFormatting sqref="A41:XFD41">
    <cfRule type="expression" dxfId="9" priority="24">
      <formula>AND(OR(ISBLANK(A40), COLUMN() - 2 &gt; $C$37), NOT(ISBLANK(A41)))</formula>
    </cfRule>
    <cfRule type="expression" dxfId="8" priority="25">
      <formula>AND(COLUMN() &gt; 2, COLUMN() - 3 &lt; $C$37, NOT(ISBLANK(A40)))</formula>
    </cfRule>
  </conditionalFormatting>
  <conditionalFormatting sqref="C28:F30">
    <cfRule type="expression" dxfId="7" priority="6">
      <formula>AND(COLUMN() - 2 &gt; $C$20, NOT(ISBLANK(C28)))</formula>
    </cfRule>
    <cfRule type="expression" dxfId="6" priority="7">
      <formula>AND(COLUMN() &gt; 2, COLUMN()  - 3 &lt; $C$20, NOT(ISBLANK(C28)))</formula>
    </cfRule>
    <cfRule type="expression" dxfId="5" priority="8">
      <formula>AND(COLUMN() &gt; 2, COLUMN() - 3 &lt; $C$20)</formula>
    </cfRule>
  </conditionalFormatting>
  <conditionalFormatting sqref="C33:F33">
    <cfRule type="expression" dxfId="4" priority="5">
      <formula>AND(COLUMN() - 4 &lt; COUNTA(C$33:$C$33), COLUMN() &gt; 2)</formula>
    </cfRule>
  </conditionalFormatting>
  <conditionalFormatting sqref="C34:F34">
    <cfRule type="expression" dxfId="3" priority="4">
      <formula>AND(COLUMN() - 4 &lt; COUNTA(C$34:$C$34), COLUMN() &gt; 2, NOT(ISBLANK(C33)))</formula>
    </cfRule>
  </conditionalFormatting>
  <conditionalFormatting sqref="C40:H40">
    <cfRule type="expression" dxfId="2" priority="1">
      <formula>AND(COLUMN() - 2 &gt; $C$37, NOT(ISBLANK(C40)))</formula>
    </cfRule>
    <cfRule type="expression" dxfId="1" priority="2">
      <formula>AND(COLUMN() &gt; 2, COLUMN()  - 3 &lt; $C$37, NOT(ISBLANK(C40)))</formula>
    </cfRule>
    <cfRule type="expression" dxfId="0" priority="3">
      <formula>AND(COLUMN() &gt; 2, COLUMN() - 3 &lt; $C$37)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7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  <dataValidation type="whole" operator="greaterThanOrEqual" allowBlank="1" showInputMessage="1" showErrorMessage="1" sqref="C24 C39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2019-05-05T23:54:24Z</dcterms:modified>
</cp:coreProperties>
</file>