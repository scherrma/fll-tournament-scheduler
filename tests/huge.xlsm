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60D839CF-012B-4352-818D-6AFF96F7AC9C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2" i="1" l="1"/>
  <c r="A10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43" i="1"/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l="1"/>
  <c r="D33" i="26" s="1"/>
  <c r="C19" i="26"/>
  <c r="C25" i="26" s="1"/>
  <c r="J3" i="26" s="1"/>
  <c r="D18" i="26"/>
</calcChain>
</file>

<file path=xl/sharedStrings.xml><?xml version="1.0" encoding="utf-8"?>
<sst xmlns="http://schemas.openxmlformats.org/spreadsheetml/2006/main" count="518" uniqueCount="509">
  <si>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</si>
  <si>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</si>
  <si>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</si>
  <si>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</si>
  <si>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</si>
  <si>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</si>
  <si>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</si>
  <si>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</si>
  <si>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</si>
  <si>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</si>
  <si>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</si>
  <si>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</si>
  <si>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</si>
  <si>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</si>
  <si>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</si>
  <si>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</si>
  <si>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</si>
  <si>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</si>
  <si>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</si>
  <si>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</si>
  <si>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</si>
  <si>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</si>
  <si>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</si>
  <si>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</si>
  <si>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</si>
  <si>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</si>
  <si>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</si>
  <si>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</si>
  <si>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</si>
  <si>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</si>
  <si>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</si>
  <si>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</si>
  <si>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</si>
  <si>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</si>
  <si>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</si>
  <si>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</si>
  <si>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</si>
  <si>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</si>
  <si>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</si>
  <si>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</si>
  <si>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</si>
  <si>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</si>
  <si>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</si>
  <si>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</si>
  <si>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</si>
  <si>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</si>
  <si>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</si>
  <si>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</si>
  <si>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</si>
  <si>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</si>
  <si>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</si>
  <si>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</si>
  <si>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</si>
  <si>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</si>
  <si>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</si>
  <si>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</si>
  <si>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</si>
  <si>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</si>
  <si>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</si>
  <si>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</si>
  <si>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</si>
  <si>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</si>
  <si>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</si>
  <si>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</si>
  <si>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</si>
  <si>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</si>
  <si>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</si>
  <si>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</si>
  <si>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</si>
  <si>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</si>
  <si>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</si>
  <si>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</si>
  <si>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</si>
  <si>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</si>
  <si>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</si>
  <si>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</si>
  <si>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</si>
  <si>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</si>
  <si>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</si>
  <si>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</si>
  <si>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</si>
  <si>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</si>
  <si>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</si>
  <si>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</si>
  <si>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</si>
  <si>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</si>
  <si>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</si>
  <si>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</si>
  <si>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</si>
  <si>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</si>
  <si>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</si>
  <si>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</si>
  <si>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</si>
  <si>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</si>
  <si>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</si>
  <si>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</si>
  <si>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</si>
  <si>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</si>
  <si>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</si>
  <si>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</si>
  <si>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</si>
  <si>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</si>
  <si>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</si>
  <si>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</si>
  <si>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</si>
  <si>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</si>
  <si>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</si>
  <si>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</si>
  <si>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</si>
  <si>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</si>
  <si>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</si>
  <si>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</si>
  <si>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</si>
  <si>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</si>
  <si>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</si>
  <si>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</si>
  <si>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</si>
  <si>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</si>
  <si>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</si>
  <si>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</si>
  <si>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</si>
  <si>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</si>
  <si>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</si>
  <si>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</si>
  <si>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</si>
  <si>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</si>
  <si>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</si>
  <si>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</si>
  <si>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</si>
  <si>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</si>
  <si>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</si>
  <si>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</si>
  <si>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</si>
  <si>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</si>
  <si>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</si>
  <si>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</si>
  <si>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</si>
  <si>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</si>
  <si>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</si>
  <si>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</si>
  <si>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</si>
  <si>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</si>
  <si>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</si>
  <si>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</si>
  <si>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</si>
  <si>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</si>
  <si>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</si>
  <si>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</si>
  <si>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</si>
  <si>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</si>
  <si>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</si>
  <si>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</si>
  <si>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</si>
  <si>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</si>
  <si>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</si>
  <si>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</si>
  <si>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</si>
  <si>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</si>
  <si>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</si>
  <si>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</si>
  <si>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</si>
  <si>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</si>
  <si>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</si>
  <si>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</si>
  <si>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</si>
  <si>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</si>
  <si>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</si>
  <si>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</si>
  <si>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</si>
  <si>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</si>
  <si>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</si>
  <si>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</si>
  <si>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</si>
  <si>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</si>
  <si>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</si>
  <si>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</si>
  <si>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</si>
  <si>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</si>
  <si>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</si>
  <si>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</si>
  <si>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</si>
  <si>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</si>
  <si>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</si>
  <si>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</si>
  <si>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</si>
  <si>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</si>
  <si>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</si>
  <si>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</si>
  <si>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</si>
  <si>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</si>
  <si>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</si>
  <si>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</si>
  <si>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</si>
  <si>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</si>
  <si>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</si>
  <si>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</si>
  <si>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</si>
  <si>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</si>
  <si>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</si>
  <si>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</si>
  <si>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</si>
  <si>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</si>
  <si>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</si>
  <si>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</si>
  <si>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</si>
  <si>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</si>
  <si>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</si>
  <si>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</si>
  <si>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</si>
  <si>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</si>
  <si>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</si>
  <si>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</si>
  <si>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</si>
  <si>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</si>
  <si>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</si>
  <si>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</si>
  <si>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</si>
  <si>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</si>
  <si>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</si>
  <si>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</si>
  <si>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</si>
  <si>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</si>
  <si>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</si>
  <si>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</si>
  <si>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</si>
  <si>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</si>
  <si>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</si>
  <si>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</si>
  <si>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</si>
  <si>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</si>
  <si>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</si>
  <si>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</si>
  <si>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</si>
  <si>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</si>
  <si>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</si>
  <si>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</si>
  <si>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</si>
  <si>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</si>
  <si>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</si>
  <si>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</si>
  <si>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</si>
  <si>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</si>
  <si>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</si>
  <si>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</si>
  <si>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</si>
  <si>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</si>
  <si>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</si>
  <si>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</si>
  <si>
    <t>Webby</t>
  </si>
  <si>
    <t>Phooey</t>
  </si>
  <si>
    <t>Donald</t>
  </si>
  <si>
    <t>The Charming Turtles</t>
  </si>
  <si>
    <t>The Verdant Chimpanzees</t>
  </si>
  <si>
    <t>The Fierce Koalas</t>
  </si>
  <si>
    <t>The Utopian Sheep</t>
  </si>
  <si>
    <t>The Automatic Eagles</t>
  </si>
  <si>
    <t>The Helpful Dogfishes</t>
  </si>
  <si>
    <t>The Frightening Hamsters</t>
  </si>
  <si>
    <t>The Direful Turkeys</t>
  </si>
  <si>
    <t>The Trite Stinkbugs</t>
  </si>
  <si>
    <t>The Exultant Louses</t>
  </si>
  <si>
    <t>The Mundane Monkeys</t>
  </si>
  <si>
    <t>The Next Flys</t>
  </si>
  <si>
    <t>The Doubtful Lobsters</t>
  </si>
  <si>
    <t>The Same Mules</t>
  </si>
  <si>
    <t>The Fortunate Jellyfishes</t>
  </si>
  <si>
    <t>The Testy Walruses</t>
  </si>
  <si>
    <t>The Dependent Magpies</t>
  </si>
  <si>
    <t>The Wide Penguins</t>
  </si>
  <si>
    <t>The Gaudy Whales</t>
  </si>
  <si>
    <t>The Milky Anteaters</t>
  </si>
  <si>
    <t>The Determined Boars</t>
  </si>
  <si>
    <t>The Free Finches</t>
  </si>
  <si>
    <t>The Historical Salamanders</t>
  </si>
  <si>
    <t>The Phobic Donkeys</t>
  </si>
  <si>
    <t>The Closed Buffalos</t>
  </si>
  <si>
    <t>The Small Elephants</t>
  </si>
  <si>
    <t>The Panoramic Squirrels</t>
  </si>
  <si>
    <t>The Aggressive Shrews</t>
  </si>
  <si>
    <t>The Pleasant Gazelles</t>
  </si>
  <si>
    <t>The Gigantic Antelopes</t>
  </si>
  <si>
    <t>The Axiomatic Wolves</t>
  </si>
  <si>
    <t>The Exclusive Turtles</t>
  </si>
  <si>
    <t>The Impossible Chimpanzees</t>
  </si>
  <si>
    <t>The Tenuous Koalas</t>
  </si>
  <si>
    <t>The Forgetful Sheep</t>
  </si>
  <si>
    <t>The Internal Eagles</t>
  </si>
  <si>
    <t>The Female Dogfishes</t>
  </si>
  <si>
    <t>The Weak Hamsters</t>
  </si>
  <si>
    <t>The Superb Turkeys</t>
  </si>
  <si>
    <t>The Dusty Stinkbugs</t>
  </si>
  <si>
    <t>The Psychotic Louses</t>
  </si>
  <si>
    <t>The Meek Monkeys</t>
  </si>
  <si>
    <t>The Military Flys</t>
  </si>
  <si>
    <t>The Macabre Lobsters</t>
  </si>
  <si>
    <t>The Scintillating Mules</t>
  </si>
  <si>
    <t>The Adamant Jellyfishes</t>
  </si>
  <si>
    <t>The Natural Walruses</t>
  </si>
  <si>
    <t>The Accidental Magpies</t>
  </si>
  <si>
    <t>The Busy Penguins</t>
  </si>
  <si>
    <t>The Enchanting Whales</t>
  </si>
  <si>
    <t>The Righteous Anteaters</t>
  </si>
  <si>
    <t>The Vivacious Boars</t>
  </si>
  <si>
    <t>The Instinctive Finches</t>
  </si>
  <si>
    <t>The Majestic Dragonflys</t>
  </si>
  <si>
    <t>The Youthful Pigeons</t>
  </si>
  <si>
    <t>The Prickly Deers</t>
  </si>
  <si>
    <t>The Busy Deers</t>
  </si>
  <si>
    <t>The Enchanting Hares</t>
  </si>
  <si>
    <t>The Righteous Donkies</t>
  </si>
  <si>
    <t>The Vivacious Oysters</t>
  </si>
  <si>
    <t>The Instinctive Spiders</t>
  </si>
  <si>
    <t>The Majestic Squids</t>
  </si>
  <si>
    <t>Baryram Keul</t>
  </si>
  <si>
    <t>Catherine Levant</t>
  </si>
  <si>
    <t>Reinold Wigbout</t>
  </si>
  <si>
    <t>Sela Galwey</t>
  </si>
  <si>
    <t>Sauncho Hernadi</t>
  </si>
  <si>
    <t>Gennifer Lartigue</t>
  </si>
  <si>
    <t>Reuben Estes</t>
  </si>
  <si>
    <t>Kathe Romanazzi</t>
  </si>
  <si>
    <t>Bartholomeo Mina</t>
  </si>
  <si>
    <t>Estel Forcina</t>
  </si>
  <si>
    <t>Elliot Rosenfield</t>
  </si>
  <si>
    <t>Scarlet Jong</t>
  </si>
  <si>
    <t>Ulrich Unger</t>
  </si>
  <si>
    <t>Roseanna Taube</t>
  </si>
  <si>
    <t>Tymothy Aguilera</t>
  </si>
  <si>
    <t>Fredelia Chanatry</t>
  </si>
  <si>
    <t>Grant Merlini</t>
  </si>
  <si>
    <t>Irita Brandwein</t>
  </si>
  <si>
    <t>Sylvan Winner</t>
  </si>
  <si>
    <t>Junette Gerber</t>
  </si>
  <si>
    <t>Saxe Zasadzinski</t>
  </si>
  <si>
    <t>Sam Madison</t>
  </si>
  <si>
    <t>Clifford D'angelo</t>
  </si>
  <si>
    <t>Sabine Mulherin</t>
  </si>
  <si>
    <t>Vincenty Sheats</t>
  </si>
  <si>
    <t>Nanice Bonner-weir</t>
  </si>
  <si>
    <t>Justus Galwey</t>
  </si>
  <si>
    <t>Miguela Javier</t>
  </si>
  <si>
    <t>Egan Romanazzi</t>
  </si>
  <si>
    <t>Milicent Linn</t>
  </si>
  <si>
    <t>Richardo Jong</t>
  </si>
  <si>
    <t>Martha Moebus</t>
  </si>
  <si>
    <t>Hercules Chanatry</t>
  </si>
  <si>
    <t>Katti Deangelo</t>
  </si>
  <si>
    <t>Rabi Gerber</t>
  </si>
  <si>
    <t>Thekla Youk-see</t>
  </si>
  <si>
    <t>Cristian Mulherin</t>
  </si>
  <si>
    <t>Anabal Minow</t>
  </si>
  <si>
    <t>Gerhardt Javier</t>
  </si>
  <si>
    <t>Sophia Woods</t>
  </si>
  <si>
    <t>Damian Moebus</t>
  </si>
  <si>
    <t>Saunderson Erba</t>
  </si>
  <si>
    <t>Cathlene Distaso</t>
  </si>
  <si>
    <t>Irvine Bonadies</t>
  </si>
  <si>
    <t>Lissy Paresky</t>
  </si>
  <si>
    <t>Tibold Ghemawat</t>
  </si>
  <si>
    <t>Bryn Carayannopoulos</t>
  </si>
  <si>
    <t>Rick Takemi</t>
  </si>
  <si>
    <t>Abra Ranford</t>
  </si>
  <si>
    <t>Tucker Berliner</t>
  </si>
  <si>
    <t>Peria Kagan</t>
  </si>
  <si>
    <t>Rainer Thivierge</t>
  </si>
  <si>
    <t>Sheelah Furth</t>
  </si>
  <si>
    <t>Erick Geman</t>
  </si>
  <si>
    <t>Suki Guin</t>
  </si>
  <si>
    <t>Porter Kimmerly</t>
  </si>
  <si>
    <t>Marie Tardif</t>
  </si>
  <si>
    <t>Francklyn Berlioz</t>
  </si>
  <si>
    <t>Marys Ratchford</t>
  </si>
  <si>
    <t>Barthel Lampros</t>
  </si>
  <si>
    <t>Nanine Wiffen</t>
  </si>
  <si>
    <t>Colas Sweeting</t>
  </si>
  <si>
    <t>keulb@gmail.com</t>
  </si>
  <si>
    <t>levantb@gmail.com</t>
  </si>
  <si>
    <t>wigboutb@gmail.com</t>
  </si>
  <si>
    <t>galweyb@gmail.com</t>
  </si>
  <si>
    <t>hernadib@gmail.com</t>
  </si>
  <si>
    <t>lartigueb@gmail.com</t>
  </si>
  <si>
    <t>estesb@gmail.com</t>
  </si>
  <si>
    <t>romanazzib@gmail.com</t>
  </si>
  <si>
    <t>minab@gmail.com</t>
  </si>
  <si>
    <t>forcinab@gmail.com</t>
  </si>
  <si>
    <t>rosenfieldb@gmail.com</t>
  </si>
  <si>
    <t>jongb@gmail.com</t>
  </si>
  <si>
    <t>ungerb@gmail.com</t>
  </si>
  <si>
    <t>taubeb@gmail.com</t>
  </si>
  <si>
    <t>aguilerab@gmail.com</t>
  </si>
  <si>
    <t>chanatryb@gmail.com</t>
  </si>
  <si>
    <t>merlinib@gmail.com</t>
  </si>
  <si>
    <t>brandweinb@gmail.com</t>
  </si>
  <si>
    <t>winnerb@gmail.com</t>
  </si>
  <si>
    <t>gerberb@gmail.com</t>
  </si>
  <si>
    <t>zasadzinskib@gmail.com</t>
  </si>
  <si>
    <t>madisonb@gmail.com</t>
  </si>
  <si>
    <t>d'angelob@gmail.com</t>
  </si>
  <si>
    <t>mulherinb@gmail.com</t>
  </si>
  <si>
    <t>sheatsb@gmail.com</t>
  </si>
  <si>
    <t>weirb@gmail.com</t>
  </si>
  <si>
    <t>javierb@gmail.com</t>
  </si>
  <si>
    <t>linnb@gmail.com</t>
  </si>
  <si>
    <t>moebusb@gmail.com</t>
  </si>
  <si>
    <t>deangelob@gmail.com</t>
  </si>
  <si>
    <t>seeb@gmail.com</t>
  </si>
  <si>
    <t>minowb@gmail.com</t>
  </si>
  <si>
    <t>woodsb@gmail.com</t>
  </si>
  <si>
    <t>erbab@gmail.com</t>
  </si>
  <si>
    <t>distasob@gmail.com</t>
  </si>
  <si>
    <t>bonadiesb@gmail.com</t>
  </si>
  <si>
    <t>pareskyb@gmail.com</t>
  </si>
  <si>
    <t>ghemawatb@gmail.com</t>
  </si>
  <si>
    <t>carayannopoulosb@gmail.com</t>
  </si>
  <si>
    <t>takemib@gmail.com</t>
  </si>
  <si>
    <t>ranfordb@gmail.com</t>
  </si>
  <si>
    <t>berlinerb@gmail.com</t>
  </si>
  <si>
    <t>kaganb@gmail.com</t>
  </si>
  <si>
    <t>thiviergeb@gmail.com</t>
  </si>
  <si>
    <t>furthb@gmail.com</t>
  </si>
  <si>
    <t>gemanb@gmail.com</t>
  </si>
  <si>
    <t>guinb@gmail.com</t>
  </si>
  <si>
    <t>kimmerlyb@gmail.com</t>
  </si>
  <si>
    <t>tardifb@gmail.com</t>
  </si>
  <si>
    <t>berliozb@gmail.com</t>
  </si>
  <si>
    <t>ratchfordb@gmail.com</t>
  </si>
  <si>
    <t>lamprosb@gmail.com</t>
  </si>
  <si>
    <t>wiffenb@gmail.com</t>
  </si>
  <si>
    <t>sweetingb@gmail.com</t>
  </si>
  <si>
    <t>(464) 679-8406</t>
  </si>
  <si>
    <t>(548) 648-3655</t>
  </si>
  <si>
    <t>(219) 277-2173</t>
  </si>
  <si>
    <t>(882) 331-9734</t>
  </si>
  <si>
    <t>(805) 513-7186</t>
  </si>
  <si>
    <t>(380) 682-4656</t>
  </si>
  <si>
    <t>(582) 635-1671</t>
  </si>
  <si>
    <t>(289) 435-1627</t>
  </si>
  <si>
    <t>(856) 919-9445</t>
  </si>
  <si>
    <t>(236) 464-1610</t>
  </si>
  <si>
    <t>(828) 871-1334</t>
  </si>
  <si>
    <t>(216) 600-3980</t>
  </si>
  <si>
    <t>(829) 311-3107</t>
  </si>
  <si>
    <t>(885) 978-6207</t>
  </si>
  <si>
    <t>(921) 924-7024</t>
  </si>
  <si>
    <t>(695) 708-7763</t>
  </si>
  <si>
    <t>(841) 332-4853</t>
  </si>
  <si>
    <t>(988) 517-1885</t>
  </si>
  <si>
    <t>(515) 830-8685</t>
  </si>
  <si>
    <t>(618) 778-4235</t>
  </si>
  <si>
    <t>(669) 594-5685</t>
  </si>
  <si>
    <t>(538) 885-1454</t>
  </si>
  <si>
    <t>(419) 401-5882</t>
  </si>
  <si>
    <t>(550) 602-6585</t>
  </si>
  <si>
    <t>(247) 248-3272</t>
  </si>
  <si>
    <t>(456) 386-0799</t>
  </si>
  <si>
    <t>(567) 395-5154</t>
  </si>
  <si>
    <t>(447) 604-6001</t>
  </si>
  <si>
    <t>(324) 992-8970</t>
  </si>
  <si>
    <t>(575) 953-7011</t>
  </si>
  <si>
    <t>(715) 677-2547</t>
  </si>
  <si>
    <t>(278) 739-5449</t>
  </si>
  <si>
    <t>(302) 653-8488</t>
  </si>
  <si>
    <t>(725) 571-8587</t>
  </si>
  <si>
    <t>(490) 836-1816</t>
  </si>
  <si>
    <t>(362) 611-9292</t>
  </si>
  <si>
    <t>(601) 630-9172</t>
  </si>
  <si>
    <t>(526) 853-4055</t>
  </si>
  <si>
    <t>(784) 984-9203</t>
  </si>
  <si>
    <t>(894) 605-9976</t>
  </si>
  <si>
    <t>(208) 945-2443</t>
  </si>
  <si>
    <t>(829) 322-2457</t>
  </si>
  <si>
    <t>(673) 881-1943</t>
  </si>
  <si>
    <t>(639) 306-3064</t>
  </si>
  <si>
    <t>(954) 525-9457</t>
  </si>
  <si>
    <t>(303) 392-7935</t>
  </si>
  <si>
    <t>(310) 516-4897</t>
  </si>
  <si>
    <t>(200) 591-1036</t>
  </si>
  <si>
    <t>(833) 516-8413</t>
  </si>
  <si>
    <t>(351) 637-6572</t>
  </si>
  <si>
    <t>(326) 656-0146</t>
  </si>
  <si>
    <t>(215) 563-9212</t>
  </si>
  <si>
    <t>(307) 449-2109</t>
  </si>
  <si>
    <t>(851) 559-2247</t>
  </si>
  <si>
    <t>(803) 963-5971</t>
  </si>
  <si>
    <t>(518) 596-5817</t>
  </si>
  <si>
    <t>(294) 490-9824</t>
  </si>
  <si>
    <t>(696) 459-6256</t>
  </si>
  <si>
    <t>(734) 224-2750</t>
  </si>
  <si>
    <t>(462) 222-8999</t>
  </si>
  <si>
    <t>(306) 515-7877</t>
  </si>
  <si>
    <t>(684) 374-3793</t>
  </si>
  <si>
    <t>huge</t>
  </si>
  <si>
    <t>P4</t>
  </si>
  <si>
    <t>P5</t>
  </si>
  <si>
    <t>P6</t>
  </si>
  <si>
    <t>P7</t>
  </si>
  <si>
    <t>P8</t>
  </si>
  <si>
    <t>RD4</t>
  </si>
  <si>
    <t>RD5</t>
  </si>
  <si>
    <t>RD6</t>
  </si>
  <si>
    <t>RD7</t>
  </si>
  <si>
    <t>RD8</t>
  </si>
  <si>
    <t>CV4</t>
  </si>
  <si>
    <t>CV5</t>
  </si>
  <si>
    <t>CV6</t>
  </si>
  <si>
    <t>CV7</t>
  </si>
  <si>
    <t>CV8</t>
  </si>
  <si>
    <t>Scrooge</t>
  </si>
  <si>
    <t>Beakley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</si>
</sst>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topLeftCell="A80" workbookViewId="0">
      <selection activeCell="G96" sqref="G96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191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29" t="s">
        <v>192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29" t="s">
        <v>193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29" t="s">
        <v>194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29" t="s">
        <v>195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29" t="s">
        <v>196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29" t="s">
        <v>197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29" t="s">
        <v>198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29" t="s">
        <v>199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29" t="s">
        <v>200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29" t="s">
        <v>201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29" t="s">
        <v>202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29" t="s">
        <v>204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29" t="s">
        <v>205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29" t="s">
        <v>206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29" t="s">
        <v>207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29" t="s">
        <v>208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29" t="s">
        <v>209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29" t="s">
        <v>210</v>
      </c>
      <c r="E19" s="1" t="s">
        <v>59</v>
      </c>
    </row>
    <row r="20" spans="1:10" customFormat="1">
      <c r="A20" s="2">
        <v>38561</v>
      </c>
      <c r="B20" s="2" t="s">
        <v>120</v>
      </c>
      <c r="C20" s="2" t="s">
        <v>121</v>
      </c>
      <c r="D20" s="29" t="s">
        <v>211</v>
      </c>
      <c r="E20" s="2" t="s">
        <v>122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29" t="s">
        <v>212</v>
      </c>
      <c r="E21" s="1" t="s">
        <v>60</v>
      </c>
      <c r="F21"/>
      <c r="G21"/>
    </row>
    <row r="22" spans="1:10">
      <c r="A22" s="2">
        <v>15289</v>
      </c>
      <c r="B22" s="2" t="s">
        <v>61</v>
      </c>
      <c r="C22" s="2" t="s">
        <v>79</v>
      </c>
      <c r="D22" s="29" t="s">
        <v>213</v>
      </c>
      <c r="E22" s="2" t="s">
        <v>98</v>
      </c>
      <c r="F22"/>
      <c r="G22"/>
    </row>
    <row r="23" spans="1:10">
      <c r="A23" s="2">
        <v>26167</v>
      </c>
      <c r="B23" s="2" t="s">
        <v>62</v>
      </c>
      <c r="C23" s="2" t="s">
        <v>80</v>
      </c>
      <c r="D23" s="29" t="s">
        <v>214</v>
      </c>
      <c r="E23" s="2" t="s">
        <v>99</v>
      </c>
      <c r="F23"/>
      <c r="G23"/>
    </row>
    <row r="24" spans="1:10">
      <c r="A24" s="2">
        <v>3539</v>
      </c>
      <c r="B24" s="2" t="s">
        <v>63</v>
      </c>
      <c r="C24" s="2" t="s">
        <v>81</v>
      </c>
      <c r="D24" s="29" t="s">
        <v>215</v>
      </c>
      <c r="E24" s="2" t="s">
        <v>100</v>
      </c>
      <c r="F24"/>
      <c r="G24"/>
    </row>
    <row r="25" spans="1:10">
      <c r="A25" s="2">
        <v>42650</v>
      </c>
      <c r="B25" s="2" t="s">
        <v>64</v>
      </c>
      <c r="C25" s="2" t="s">
        <v>82</v>
      </c>
      <c r="D25" s="29" t="s">
        <v>216</v>
      </c>
      <c r="E25" s="2" t="s">
        <v>101</v>
      </c>
      <c r="F25"/>
      <c r="G25"/>
    </row>
    <row r="26" spans="1:10">
      <c r="A26" s="2">
        <v>1313</v>
      </c>
      <c r="B26" s="2" t="s">
        <v>117</v>
      </c>
      <c r="C26" s="2" t="s">
        <v>118</v>
      </c>
      <c r="D26" s="29" t="s">
        <v>217</v>
      </c>
      <c r="E26" s="2" t="s">
        <v>100</v>
      </c>
      <c r="F26"/>
      <c r="G26"/>
    </row>
    <row r="27" spans="1:10">
      <c r="A27" s="2">
        <v>25167</v>
      </c>
      <c r="B27" s="2" t="s">
        <v>65</v>
      </c>
      <c r="C27" s="2" t="s">
        <v>83</v>
      </c>
      <c r="D27" s="29" t="s">
        <v>218</v>
      </c>
      <c r="E27" s="2" t="s">
        <v>102</v>
      </c>
      <c r="F27"/>
      <c r="G27"/>
    </row>
    <row r="28" spans="1:10">
      <c r="A28" s="2">
        <v>11795</v>
      </c>
      <c r="B28" s="2" t="s">
        <v>66</v>
      </c>
      <c r="C28" s="2" t="s">
        <v>84</v>
      </c>
      <c r="D28" s="29" t="s">
        <v>219</v>
      </c>
      <c r="E28" s="2" t="s">
        <v>103</v>
      </c>
      <c r="F28"/>
      <c r="G28"/>
    </row>
    <row r="29" spans="1:10">
      <c r="A29" s="2">
        <v>45977</v>
      </c>
      <c r="B29" s="2" t="s">
        <v>67</v>
      </c>
      <c r="C29" s="2" t="s">
        <v>85</v>
      </c>
      <c r="D29" s="29" t="s">
        <v>220</v>
      </c>
      <c r="E29" s="2" t="s">
        <v>104</v>
      </c>
      <c r="F29"/>
      <c r="G29"/>
    </row>
    <row r="30" spans="1:10">
      <c r="A30" s="2">
        <v>45822</v>
      </c>
      <c r="B30" s="2" t="s">
        <v>68</v>
      </c>
      <c r="C30" s="2" t="s">
        <v>86</v>
      </c>
      <c r="D30" s="29" t="s">
        <v>221</v>
      </c>
      <c r="E30" s="2" t="s">
        <v>105</v>
      </c>
      <c r="F30"/>
      <c r="G30"/>
    </row>
    <row r="31" spans="1:10">
      <c r="A31" s="2">
        <v>24199</v>
      </c>
      <c r="B31" s="2" t="s">
        <v>69</v>
      </c>
      <c r="C31" s="2" t="s">
        <v>87</v>
      </c>
      <c r="D31" s="29" t="s">
        <v>222</v>
      </c>
      <c r="E31" s="2" t="s">
        <v>106</v>
      </c>
      <c r="F31"/>
      <c r="G31"/>
    </row>
    <row r="32" spans="1:10">
      <c r="A32" s="2">
        <v>32148</v>
      </c>
      <c r="B32" s="2" t="s">
        <v>70</v>
      </c>
      <c r="C32" s="2" t="s">
        <v>88</v>
      </c>
      <c r="D32" s="29" t="s">
        <v>223</v>
      </c>
      <c r="E32" s="2" t="s">
        <v>107</v>
      </c>
      <c r="F32"/>
      <c r="G32"/>
    </row>
    <row r="33" spans="1:7">
      <c r="A33" s="2">
        <v>18274</v>
      </c>
      <c r="B33" s="2" t="s">
        <v>71</v>
      </c>
      <c r="C33" s="2" t="s">
        <v>89</v>
      </c>
      <c r="D33" s="29" t="s">
        <v>224</v>
      </c>
      <c r="E33" s="2" t="s">
        <v>108</v>
      </c>
      <c r="F33"/>
      <c r="G33"/>
    </row>
    <row r="34" spans="1:7">
      <c r="A34" s="2">
        <v>27828</v>
      </c>
      <c r="B34" s="2" t="s">
        <v>72</v>
      </c>
      <c r="C34" s="2" t="s">
        <v>90</v>
      </c>
      <c r="D34" s="29" t="s">
        <v>225</v>
      </c>
      <c r="E34" s="2" t="s">
        <v>109</v>
      </c>
      <c r="F34"/>
      <c r="G34"/>
    </row>
    <row r="35" spans="1:7">
      <c r="A35" s="2">
        <v>8778</v>
      </c>
      <c r="B35" s="2" t="s">
        <v>73</v>
      </c>
      <c r="C35" s="2" t="s">
        <v>91</v>
      </c>
      <c r="D35" s="29" t="s">
        <v>226</v>
      </c>
      <c r="E35" s="2" t="s">
        <v>110</v>
      </c>
      <c r="F35"/>
      <c r="G35"/>
    </row>
    <row r="36" spans="1:7">
      <c r="A36" s="2">
        <v>46561</v>
      </c>
      <c r="B36" s="2" t="s">
        <v>74</v>
      </c>
      <c r="C36" s="2" t="s">
        <v>92</v>
      </c>
      <c r="D36" s="29" t="s">
        <v>227</v>
      </c>
      <c r="E36" s="2" t="s">
        <v>111</v>
      </c>
      <c r="F36"/>
      <c r="G36"/>
    </row>
    <row r="37" spans="1:7">
      <c r="A37" s="2">
        <v>24436</v>
      </c>
      <c r="B37" s="2" t="s">
        <v>75</v>
      </c>
      <c r="C37" s="2" t="s">
        <v>93</v>
      </c>
      <c r="D37" s="29" t="s">
        <v>228</v>
      </c>
      <c r="E37" s="2" t="s">
        <v>112</v>
      </c>
      <c r="F37"/>
      <c r="G37"/>
    </row>
    <row r="38" spans="1:7">
      <c r="A38" s="2">
        <v>48988</v>
      </c>
      <c r="B38" s="38" t="s">
        <v>76</v>
      </c>
      <c r="C38" s="2" t="s">
        <v>94</v>
      </c>
      <c r="D38" s="29" t="s">
        <v>229</v>
      </c>
      <c r="E38" s="2" t="s">
        <v>113</v>
      </c>
      <c r="F38"/>
      <c r="G38"/>
    </row>
    <row r="39" spans="1:7">
      <c r="A39" s="2">
        <v>41349</v>
      </c>
      <c r="B39" s="38" t="s">
        <v>77</v>
      </c>
      <c r="C39" s="2" t="s">
        <v>95</v>
      </c>
      <c r="D39" s="29" t="s">
        <v>230</v>
      </c>
      <c r="E39" s="2" t="s">
        <v>114</v>
      </c>
      <c r="F39"/>
      <c r="G39"/>
    </row>
    <row r="40" spans="1:7">
      <c r="A40" s="2">
        <v>9392</v>
      </c>
      <c r="B40" s="37" t="s">
        <v>78</v>
      </c>
      <c r="C40" s="2" t="s">
        <v>96</v>
      </c>
      <c r="D40" s="29" t="s">
        <v>231</v>
      </c>
      <c r="E40" s="2" t="s">
        <v>115</v>
      </c>
      <c r="F40"/>
      <c r="G40"/>
    </row>
    <row r="41" spans="1:7">
      <c r="A41" s="2">
        <v>48867</v>
      </c>
      <c r="B41" s="37" t="s">
        <v>119</v>
      </c>
      <c r="C41" s="2" t="s">
        <v>97</v>
      </c>
      <c r="D41" s="29" t="s">
        <v>203</v>
      </c>
      <c r="E41" s="2" t="s">
        <v>116</v>
      </c>
      <c r="F41"/>
      <c r="G41"/>
    </row>
    <row r="42" spans="1:7">
      <c r="A42" s="2">
        <v>41348</v>
      </c>
      <c r="B42" s="1" t="s">
        <v>251</v>
      </c>
      <c r="C42" s="1" t="s">
        <v>313</v>
      </c>
      <c r="D42" s="29" t="s">
        <v>375</v>
      </c>
      <c r="E42" s="1" t="s">
        <v>429</v>
      </c>
    </row>
    <row r="43" spans="1:7">
      <c r="A43" s="2">
        <f ca="1">RANDBETWEEN(10, 100000)</f>
        <v>6858</v>
      </c>
      <c r="B43" s="1" t="s">
        <v>252</v>
      </c>
      <c r="C43" s="1" t="s">
        <v>314</v>
      </c>
      <c r="D43" s="29" t="s">
        <v>376</v>
      </c>
      <c r="E43" s="1" t="s">
        <v>430</v>
      </c>
    </row>
    <row r="44" spans="1:7">
      <c r="A44" s="2">
        <f t="shared" ref="A44:A103" ca="1" si="0">RANDBETWEEN(10, 100000)</f>
        <v>44493</v>
      </c>
      <c r="B44" s="1" t="s">
        <v>253</v>
      </c>
      <c r="C44" s="1" t="s">
        <v>315</v>
      </c>
      <c r="D44" s="29" t="s">
        <v>377</v>
      </c>
      <c r="E44" s="1" t="s">
        <v>431</v>
      </c>
    </row>
    <row r="45" spans="1:7">
      <c r="A45" s="2">
        <f t="shared" ca="1" si="0"/>
        <v>19339</v>
      </c>
      <c r="B45" s="1" t="s">
        <v>254</v>
      </c>
      <c r="C45" s="1" t="s">
        <v>316</v>
      </c>
      <c r="D45" s="29" t="s">
        <v>378</v>
      </c>
      <c r="E45" s="1" t="s">
        <v>432</v>
      </c>
    </row>
    <row r="46" spans="1:7">
      <c r="A46" s="2">
        <f t="shared" ca="1" si="0"/>
        <v>35779</v>
      </c>
      <c r="B46" s="1" t="s">
        <v>255</v>
      </c>
      <c r="C46" s="1" t="s">
        <v>317</v>
      </c>
      <c r="D46" s="29" t="s">
        <v>379</v>
      </c>
      <c r="E46" s="1" t="s">
        <v>433</v>
      </c>
    </row>
    <row r="47" spans="1:7">
      <c r="A47" s="2">
        <f t="shared" ca="1" si="0"/>
        <v>52448</v>
      </c>
      <c r="B47" s="1" t="s">
        <v>256</v>
      </c>
      <c r="C47" s="1" t="s">
        <v>318</v>
      </c>
      <c r="D47" s="29" t="s">
        <v>380</v>
      </c>
      <c r="E47" s="1" t="s">
        <v>434</v>
      </c>
    </row>
    <row r="48" spans="1:7">
      <c r="A48" s="2">
        <f t="shared" ca="1" si="0"/>
        <v>69462</v>
      </c>
      <c r="B48" s="1" t="s">
        <v>257</v>
      </c>
      <c r="C48" s="1" t="s">
        <v>319</v>
      </c>
      <c r="D48" s="29" t="s">
        <v>381</v>
      </c>
      <c r="E48" s="1" t="s">
        <v>435</v>
      </c>
    </row>
    <row r="49" spans="1:5">
      <c r="A49" s="2">
        <f t="shared" ca="1" si="0"/>
        <v>46699</v>
      </c>
      <c r="B49" s="1" t="s">
        <v>258</v>
      </c>
      <c r="C49" s="1" t="s">
        <v>320</v>
      </c>
      <c r="D49" s="29" t="s">
        <v>382</v>
      </c>
      <c r="E49" s="1" t="s">
        <v>436</v>
      </c>
    </row>
    <row r="50" spans="1:5">
      <c r="A50" s="2">
        <f t="shared" ca="1" si="0"/>
        <v>64165</v>
      </c>
      <c r="B50" s="1" t="s">
        <v>259</v>
      </c>
      <c r="C50" s="1" t="s">
        <v>321</v>
      </c>
      <c r="D50" s="29" t="s">
        <v>383</v>
      </c>
      <c r="E50" s="1" t="s">
        <v>437</v>
      </c>
    </row>
    <row r="51" spans="1:5">
      <c r="A51" s="2">
        <f t="shared" ca="1" si="0"/>
        <v>63176</v>
      </c>
      <c r="B51" s="1" t="s">
        <v>260</v>
      </c>
      <c r="C51" s="1" t="s">
        <v>322</v>
      </c>
      <c r="D51" s="29" t="s">
        <v>384</v>
      </c>
      <c r="E51" s="1" t="s">
        <v>438</v>
      </c>
    </row>
    <row r="52" spans="1:5">
      <c r="A52" s="2">
        <f t="shared" ca="1" si="0"/>
        <v>77416</v>
      </c>
      <c r="B52" s="1" t="s">
        <v>261</v>
      </c>
      <c r="C52" s="1" t="s">
        <v>323</v>
      </c>
      <c r="D52" s="29" t="s">
        <v>385</v>
      </c>
      <c r="E52" s="1" t="s">
        <v>439</v>
      </c>
    </row>
    <row r="53" spans="1:5">
      <c r="A53" s="2">
        <f t="shared" ca="1" si="0"/>
        <v>92751</v>
      </c>
      <c r="B53" s="1" t="s">
        <v>262</v>
      </c>
      <c r="C53" s="1" t="s">
        <v>324</v>
      </c>
      <c r="D53" s="29" t="s">
        <v>386</v>
      </c>
      <c r="E53" s="1" t="s">
        <v>440</v>
      </c>
    </row>
    <row r="54" spans="1:5">
      <c r="A54" s="2">
        <f t="shared" ca="1" si="0"/>
        <v>47775</v>
      </c>
      <c r="B54" s="1" t="s">
        <v>263</v>
      </c>
      <c r="C54" s="1" t="s">
        <v>325</v>
      </c>
      <c r="D54" s="29" t="s">
        <v>387</v>
      </c>
      <c r="E54" s="1" t="s">
        <v>441</v>
      </c>
    </row>
    <row r="55" spans="1:5">
      <c r="A55" s="2">
        <f t="shared" ca="1" si="0"/>
        <v>77294</v>
      </c>
      <c r="B55" s="1" t="s">
        <v>264</v>
      </c>
      <c r="C55" s="1" t="s">
        <v>326</v>
      </c>
      <c r="D55" s="29" t="s">
        <v>388</v>
      </c>
      <c r="E55" s="1" t="s">
        <v>442</v>
      </c>
    </row>
    <row r="56" spans="1:5">
      <c r="A56" s="2">
        <f t="shared" ca="1" si="0"/>
        <v>31345</v>
      </c>
      <c r="B56" s="1" t="s">
        <v>265</v>
      </c>
      <c r="C56" s="1" t="s">
        <v>327</v>
      </c>
      <c r="D56" s="29" t="s">
        <v>389</v>
      </c>
      <c r="E56" s="1" t="s">
        <v>443</v>
      </c>
    </row>
    <row r="57" spans="1:5">
      <c r="A57" s="2">
        <f t="shared" ca="1" si="0"/>
        <v>18979</v>
      </c>
      <c r="B57" s="1" t="s">
        <v>266</v>
      </c>
      <c r="C57" s="1" t="s">
        <v>328</v>
      </c>
      <c r="D57" s="29" t="s">
        <v>390</v>
      </c>
      <c r="E57" s="1" t="s">
        <v>444</v>
      </c>
    </row>
    <row r="58" spans="1:5">
      <c r="A58" s="2">
        <f t="shared" ca="1" si="0"/>
        <v>13359</v>
      </c>
      <c r="B58" s="1" t="s">
        <v>267</v>
      </c>
      <c r="C58" s="1" t="s">
        <v>329</v>
      </c>
      <c r="D58" s="29" t="s">
        <v>391</v>
      </c>
      <c r="E58" s="1" t="s">
        <v>445</v>
      </c>
    </row>
    <row r="59" spans="1:5">
      <c r="A59" s="2">
        <f t="shared" ca="1" si="0"/>
        <v>60237</v>
      </c>
      <c r="B59" s="1" t="s">
        <v>268</v>
      </c>
      <c r="C59" s="1" t="s">
        <v>330</v>
      </c>
      <c r="D59" s="29" t="s">
        <v>392</v>
      </c>
      <c r="E59" s="1" t="s">
        <v>446</v>
      </c>
    </row>
    <row r="60" spans="1:5">
      <c r="A60" s="2">
        <f t="shared" ca="1" si="0"/>
        <v>72586</v>
      </c>
      <c r="B60" s="1" t="s">
        <v>269</v>
      </c>
      <c r="C60" s="1" t="s">
        <v>331</v>
      </c>
      <c r="D60" s="29" t="s">
        <v>393</v>
      </c>
      <c r="E60" s="1" t="s">
        <v>447</v>
      </c>
    </row>
    <row r="61" spans="1:5">
      <c r="A61" s="2">
        <f t="shared" ca="1" si="0"/>
        <v>71845</v>
      </c>
      <c r="B61" s="1" t="s">
        <v>270</v>
      </c>
      <c r="C61" s="1" t="s">
        <v>332</v>
      </c>
      <c r="D61" s="29" t="s">
        <v>394</v>
      </c>
      <c r="E61" s="1" t="s">
        <v>448</v>
      </c>
    </row>
    <row r="62" spans="1:5">
      <c r="A62" s="2">
        <f t="shared" ca="1" si="0"/>
        <v>11357</v>
      </c>
      <c r="B62" s="1" t="s">
        <v>271</v>
      </c>
      <c r="C62" s="1" t="s">
        <v>333</v>
      </c>
      <c r="D62" s="29" t="s">
        <v>395</v>
      </c>
      <c r="E62" s="1" t="s">
        <v>449</v>
      </c>
    </row>
    <row r="63" spans="1:5">
      <c r="A63" s="2">
        <f t="shared" ca="1" si="0"/>
        <v>9215</v>
      </c>
      <c r="B63" s="1" t="s">
        <v>272</v>
      </c>
      <c r="C63" s="1" t="s">
        <v>334</v>
      </c>
      <c r="D63" s="29" t="s">
        <v>396</v>
      </c>
      <c r="E63" s="1" t="s">
        <v>450</v>
      </c>
    </row>
    <row r="64" spans="1:5">
      <c r="A64" s="2">
        <f t="shared" ca="1" si="0"/>
        <v>86900</v>
      </c>
      <c r="B64" s="1" t="s">
        <v>273</v>
      </c>
      <c r="C64" s="1" t="s">
        <v>335</v>
      </c>
      <c r="D64" s="29" t="s">
        <v>397</v>
      </c>
      <c r="E64" s="1" t="s">
        <v>451</v>
      </c>
    </row>
    <row r="65" spans="1:5">
      <c r="A65" s="2">
        <f t="shared" ca="1" si="0"/>
        <v>62235</v>
      </c>
      <c r="B65" s="1" t="s">
        <v>274</v>
      </c>
      <c r="C65" s="1" t="s">
        <v>336</v>
      </c>
      <c r="D65" s="29" t="s">
        <v>398</v>
      </c>
      <c r="E65" s="1" t="s">
        <v>452</v>
      </c>
    </row>
    <row r="66" spans="1:5">
      <c r="A66" s="2">
        <f t="shared" ca="1" si="0"/>
        <v>95882</v>
      </c>
      <c r="B66" s="1" t="s">
        <v>275</v>
      </c>
      <c r="C66" s="1" t="s">
        <v>337</v>
      </c>
      <c r="D66" s="29" t="s">
        <v>399</v>
      </c>
      <c r="E66" s="1" t="s">
        <v>453</v>
      </c>
    </row>
    <row r="67" spans="1:5">
      <c r="A67" s="2">
        <f t="shared" ca="1" si="0"/>
        <v>38129</v>
      </c>
      <c r="B67" s="1" t="s">
        <v>276</v>
      </c>
      <c r="C67" s="1" t="s">
        <v>338</v>
      </c>
      <c r="D67" s="29" t="s">
        <v>400</v>
      </c>
      <c r="E67" s="1" t="s">
        <v>454</v>
      </c>
    </row>
    <row r="68" spans="1:5">
      <c r="A68" s="2">
        <f t="shared" ca="1" si="0"/>
        <v>43410</v>
      </c>
      <c r="B68" s="1" t="s">
        <v>277</v>
      </c>
      <c r="C68" s="1" t="s">
        <v>339</v>
      </c>
      <c r="D68" s="29" t="s">
        <v>378</v>
      </c>
      <c r="E68" s="1" t="s">
        <v>455</v>
      </c>
    </row>
    <row r="69" spans="1:5">
      <c r="A69" s="2">
        <f t="shared" ca="1" si="0"/>
        <v>1771</v>
      </c>
      <c r="B69" s="1" t="s">
        <v>278</v>
      </c>
      <c r="C69" s="1" t="s">
        <v>340</v>
      </c>
      <c r="D69" s="29" t="s">
        <v>401</v>
      </c>
      <c r="E69" s="1" t="s">
        <v>456</v>
      </c>
    </row>
    <row r="70" spans="1:5">
      <c r="A70" s="2">
        <f t="shared" ca="1" si="0"/>
        <v>47542</v>
      </c>
      <c r="B70" s="1" t="s">
        <v>279</v>
      </c>
      <c r="C70" s="1" t="s">
        <v>341</v>
      </c>
      <c r="D70" s="29" t="s">
        <v>382</v>
      </c>
      <c r="E70" s="1" t="s">
        <v>457</v>
      </c>
    </row>
    <row r="71" spans="1:5">
      <c r="A71" s="2">
        <f t="shared" ca="1" si="0"/>
        <v>59362</v>
      </c>
      <c r="B71" s="1" t="s">
        <v>280</v>
      </c>
      <c r="C71" s="1" t="s">
        <v>342</v>
      </c>
      <c r="D71" s="29" t="s">
        <v>402</v>
      </c>
      <c r="E71" s="1" t="s">
        <v>458</v>
      </c>
    </row>
    <row r="72" spans="1:5">
      <c r="A72" s="2">
        <f t="shared" ca="1" si="0"/>
        <v>27481</v>
      </c>
      <c r="B72" s="1" t="s">
        <v>281</v>
      </c>
      <c r="C72" s="1" t="s">
        <v>343</v>
      </c>
      <c r="D72" s="29" t="s">
        <v>386</v>
      </c>
      <c r="E72" s="1" t="s">
        <v>459</v>
      </c>
    </row>
    <row r="73" spans="1:5">
      <c r="A73" s="2">
        <f t="shared" ca="1" si="0"/>
        <v>83762</v>
      </c>
      <c r="B73" s="1" t="s">
        <v>282</v>
      </c>
      <c r="C73" s="1" t="s">
        <v>344</v>
      </c>
      <c r="D73" s="29" t="s">
        <v>403</v>
      </c>
      <c r="E73" s="1" t="s">
        <v>460</v>
      </c>
    </row>
    <row r="74" spans="1:5">
      <c r="A74" s="2">
        <f t="shared" ca="1" si="0"/>
        <v>35007</v>
      </c>
      <c r="B74" s="1" t="s">
        <v>283</v>
      </c>
      <c r="C74" s="1" t="s">
        <v>345</v>
      </c>
      <c r="D74" s="29" t="s">
        <v>390</v>
      </c>
      <c r="E74" s="1" t="s">
        <v>461</v>
      </c>
    </row>
    <row r="75" spans="1:5">
      <c r="A75" s="2">
        <f t="shared" ca="1" si="0"/>
        <v>91973</v>
      </c>
      <c r="B75" s="1" t="s">
        <v>284</v>
      </c>
      <c r="C75" s="1" t="s">
        <v>346</v>
      </c>
      <c r="D75" s="29" t="s">
        <v>404</v>
      </c>
      <c r="E75" s="1" t="s">
        <v>462</v>
      </c>
    </row>
    <row r="76" spans="1:5">
      <c r="A76" s="2">
        <f t="shared" ca="1" si="0"/>
        <v>35319</v>
      </c>
      <c r="B76" s="1" t="s">
        <v>285</v>
      </c>
      <c r="C76" s="1" t="s">
        <v>347</v>
      </c>
      <c r="D76" s="29" t="s">
        <v>394</v>
      </c>
      <c r="E76" s="1" t="s">
        <v>463</v>
      </c>
    </row>
    <row r="77" spans="1:5">
      <c r="A77" s="2">
        <f t="shared" ca="1" si="0"/>
        <v>27749</v>
      </c>
      <c r="B77" s="1" t="s">
        <v>286</v>
      </c>
      <c r="C77" s="1" t="s">
        <v>348</v>
      </c>
      <c r="D77" s="29" t="s">
        <v>405</v>
      </c>
      <c r="E77" s="1" t="s">
        <v>464</v>
      </c>
    </row>
    <row r="78" spans="1:5">
      <c r="A78" s="2">
        <f t="shared" ca="1" si="0"/>
        <v>55195</v>
      </c>
      <c r="B78" s="1" t="s">
        <v>287</v>
      </c>
      <c r="C78" s="1" t="s">
        <v>349</v>
      </c>
      <c r="D78" s="29" t="s">
        <v>398</v>
      </c>
      <c r="E78" s="1" t="s">
        <v>465</v>
      </c>
    </row>
    <row r="79" spans="1:5">
      <c r="A79" s="2">
        <f t="shared" ca="1" si="0"/>
        <v>77671</v>
      </c>
      <c r="B79" s="1" t="s">
        <v>288</v>
      </c>
      <c r="C79" s="1" t="s">
        <v>350</v>
      </c>
      <c r="D79" s="29" t="s">
        <v>406</v>
      </c>
      <c r="E79" s="1" t="s">
        <v>466</v>
      </c>
    </row>
    <row r="80" spans="1:5">
      <c r="A80" s="2">
        <f t="shared" ca="1" si="0"/>
        <v>65728</v>
      </c>
      <c r="B80" s="1" t="s">
        <v>289</v>
      </c>
      <c r="C80" s="1" t="s">
        <v>351</v>
      </c>
      <c r="D80" s="29" t="s">
        <v>401</v>
      </c>
      <c r="E80" s="1" t="s">
        <v>467</v>
      </c>
    </row>
    <row r="81" spans="1:5">
      <c r="A81" s="2">
        <f t="shared" ca="1" si="0"/>
        <v>29825</v>
      </c>
      <c r="B81" s="1" t="s">
        <v>290</v>
      </c>
      <c r="C81" s="1" t="s">
        <v>352</v>
      </c>
      <c r="D81" s="29" t="s">
        <v>407</v>
      </c>
      <c r="E81" s="1" t="s">
        <v>468</v>
      </c>
    </row>
    <row r="82" spans="1:5">
      <c r="A82" s="2">
        <f t="shared" ca="1" si="0"/>
        <v>51015</v>
      </c>
      <c r="B82" s="1" t="s">
        <v>291</v>
      </c>
      <c r="C82" s="1" t="s">
        <v>353</v>
      </c>
      <c r="D82" s="29" t="s">
        <v>403</v>
      </c>
      <c r="E82" s="1" t="s">
        <v>469</v>
      </c>
    </row>
    <row r="83" spans="1:5">
      <c r="A83" s="2">
        <f t="shared" ca="1" si="0"/>
        <v>5451</v>
      </c>
      <c r="B83" s="1" t="s">
        <v>292</v>
      </c>
      <c r="C83" s="1" t="s">
        <v>354</v>
      </c>
      <c r="D83" s="29" t="s">
        <v>408</v>
      </c>
      <c r="E83" s="1" t="s">
        <v>470</v>
      </c>
    </row>
    <row r="84" spans="1:5">
      <c r="A84" s="2">
        <f t="shared" ca="1" si="0"/>
        <v>51028</v>
      </c>
      <c r="B84" s="1" t="s">
        <v>293</v>
      </c>
      <c r="C84" s="1" t="s">
        <v>355</v>
      </c>
      <c r="D84" s="29" t="s">
        <v>409</v>
      </c>
      <c r="E84" s="1" t="s">
        <v>471</v>
      </c>
    </row>
    <row r="85" spans="1:5">
      <c r="A85" s="2">
        <f t="shared" ca="1" si="0"/>
        <v>67670</v>
      </c>
      <c r="B85" s="1" t="s">
        <v>294</v>
      </c>
      <c r="C85" s="1" t="s">
        <v>356</v>
      </c>
      <c r="D85" s="29" t="s">
        <v>410</v>
      </c>
      <c r="E85" s="1" t="s">
        <v>472</v>
      </c>
    </row>
    <row r="86" spans="1:5">
      <c r="A86" s="2">
        <f t="shared" ca="1" si="0"/>
        <v>2519</v>
      </c>
      <c r="B86" s="1" t="s">
        <v>295</v>
      </c>
      <c r="C86" s="1" t="s">
        <v>357</v>
      </c>
      <c r="D86" s="29" t="s">
        <v>411</v>
      </c>
      <c r="E86" s="1" t="s">
        <v>473</v>
      </c>
    </row>
    <row r="87" spans="1:5">
      <c r="A87" s="2">
        <f t="shared" ca="1" si="0"/>
        <v>44909</v>
      </c>
      <c r="B87" s="1" t="s">
        <v>296</v>
      </c>
      <c r="C87" s="1" t="s">
        <v>358</v>
      </c>
      <c r="D87" s="29" t="s">
        <v>412</v>
      </c>
      <c r="E87" s="1" t="s">
        <v>474</v>
      </c>
    </row>
    <row r="88" spans="1:5">
      <c r="A88" s="2">
        <f t="shared" ca="1" si="0"/>
        <v>71494</v>
      </c>
      <c r="B88" s="1" t="s">
        <v>297</v>
      </c>
      <c r="C88" s="1" t="s">
        <v>359</v>
      </c>
      <c r="D88" s="29" t="s">
        <v>413</v>
      </c>
      <c r="E88" s="1" t="s">
        <v>475</v>
      </c>
    </row>
    <row r="89" spans="1:5">
      <c r="A89" s="2">
        <f t="shared" ca="1" si="0"/>
        <v>11189</v>
      </c>
      <c r="B89" s="1" t="s">
        <v>298</v>
      </c>
      <c r="C89" s="1" t="s">
        <v>360</v>
      </c>
      <c r="D89" s="29" t="s">
        <v>414</v>
      </c>
      <c r="E89" s="1" t="s">
        <v>476</v>
      </c>
    </row>
    <row r="90" spans="1:5">
      <c r="A90" s="2">
        <f t="shared" ca="1" si="0"/>
        <v>35192</v>
      </c>
      <c r="B90" s="1" t="s">
        <v>299</v>
      </c>
      <c r="C90" s="1" t="s">
        <v>361</v>
      </c>
      <c r="D90" s="29" t="s">
        <v>415</v>
      </c>
      <c r="E90" s="1" t="s">
        <v>477</v>
      </c>
    </row>
    <row r="91" spans="1:5">
      <c r="A91" s="2">
        <f t="shared" ca="1" si="0"/>
        <v>20913</v>
      </c>
      <c r="B91" s="1" t="s">
        <v>300</v>
      </c>
      <c r="C91" s="1" t="s">
        <v>362</v>
      </c>
      <c r="D91" s="29" t="s">
        <v>416</v>
      </c>
      <c r="E91" s="1" t="s">
        <v>478</v>
      </c>
    </row>
    <row r="92" spans="1:5">
      <c r="A92" s="2">
        <f t="shared" ca="1" si="0"/>
        <v>66781</v>
      </c>
      <c r="B92" s="1" t="s">
        <v>301</v>
      </c>
      <c r="C92" s="1" t="s">
        <v>363</v>
      </c>
      <c r="D92" s="29" t="s">
        <v>417</v>
      </c>
      <c r="E92" s="1" t="s">
        <v>479</v>
      </c>
    </row>
    <row r="93" spans="1:5">
      <c r="A93" s="2">
        <f t="shared" ca="1" si="0"/>
        <v>16584</v>
      </c>
      <c r="B93" s="1" t="s">
        <v>302</v>
      </c>
      <c r="C93" s="1" t="s">
        <v>364</v>
      </c>
      <c r="D93" s="29" t="s">
        <v>418</v>
      </c>
      <c r="E93" s="1" t="s">
        <v>480</v>
      </c>
    </row>
    <row r="94" spans="1:5">
      <c r="A94" s="2">
        <f t="shared" ca="1" si="0"/>
        <v>79996</v>
      </c>
      <c r="B94" s="1" t="s">
        <v>303</v>
      </c>
      <c r="C94" s="1" t="s">
        <v>365</v>
      </c>
      <c r="D94" s="29" t="s">
        <v>419</v>
      </c>
      <c r="E94" s="1" t="s">
        <v>481</v>
      </c>
    </row>
    <row r="95" spans="1:5">
      <c r="A95" s="2">
        <f t="shared" ca="1" si="0"/>
        <v>66173</v>
      </c>
      <c r="B95" s="1" t="s">
        <v>304</v>
      </c>
      <c r="C95" s="1" t="s">
        <v>366</v>
      </c>
      <c r="D95" s="29" t="s">
        <v>420</v>
      </c>
      <c r="E95" s="1" t="s">
        <v>482</v>
      </c>
    </row>
    <row r="96" spans="1:5">
      <c r="A96" s="2">
        <f t="shared" ca="1" si="0"/>
        <v>15454</v>
      </c>
      <c r="B96" s="1" t="s">
        <v>305</v>
      </c>
      <c r="C96" s="1" t="s">
        <v>367</v>
      </c>
      <c r="D96" s="29" t="s">
        <v>421</v>
      </c>
      <c r="E96" s="1" t="s">
        <v>483</v>
      </c>
    </row>
    <row r="97" spans="1:5">
      <c r="A97" s="2">
        <f t="shared" ca="1" si="0"/>
        <v>4547</v>
      </c>
      <c r="B97" s="1" t="s">
        <v>306</v>
      </c>
      <c r="C97" s="1" t="s">
        <v>368</v>
      </c>
      <c r="D97" s="29" t="s">
        <v>422</v>
      </c>
      <c r="E97" s="1" t="s">
        <v>484</v>
      </c>
    </row>
    <row r="98" spans="1:5">
      <c r="A98" s="2">
        <f t="shared" ca="1" si="0"/>
        <v>92432</v>
      </c>
      <c r="B98" s="1" t="s">
        <v>307</v>
      </c>
      <c r="C98" s="1" t="s">
        <v>369</v>
      </c>
      <c r="D98" s="29" t="s">
        <v>423</v>
      </c>
      <c r="E98" s="1" t="s">
        <v>485</v>
      </c>
    </row>
    <row r="99" spans="1:5">
      <c r="A99" s="2">
        <f t="shared" ca="1" si="0"/>
        <v>13779</v>
      </c>
      <c r="B99" s="1" t="s">
        <v>308</v>
      </c>
      <c r="C99" s="1" t="s">
        <v>370</v>
      </c>
      <c r="D99" s="29" t="s">
        <v>424</v>
      </c>
      <c r="E99" s="1" t="s">
        <v>486</v>
      </c>
    </row>
    <row r="100" spans="1:5">
      <c r="A100" s="2">
        <f t="shared" ca="1" si="0"/>
        <v>87466</v>
      </c>
      <c r="B100" s="1" t="s">
        <v>309</v>
      </c>
      <c r="C100" s="1" t="s">
        <v>371</v>
      </c>
      <c r="D100" s="29" t="s">
        <v>425</v>
      </c>
      <c r="E100" s="1" t="s">
        <v>487</v>
      </c>
    </row>
    <row r="101" spans="1:5">
      <c r="A101" s="2">
        <f t="shared" ca="1" si="0"/>
        <v>56014</v>
      </c>
      <c r="B101" s="1" t="s">
        <v>310</v>
      </c>
      <c r="C101" s="1" t="s">
        <v>372</v>
      </c>
      <c r="D101" s="29" t="s">
        <v>426</v>
      </c>
      <c r="E101" s="1" t="s">
        <v>488</v>
      </c>
    </row>
    <row r="102" spans="1:5">
      <c r="A102" s="2">
        <f ca="1">RANDBETWEEN(10, 100000)</f>
        <v>84555</v>
      </c>
      <c r="B102" s="1" t="s">
        <v>311</v>
      </c>
      <c r="C102" s="1" t="s">
        <v>373</v>
      </c>
      <c r="D102" s="29" t="s">
        <v>427</v>
      </c>
      <c r="E102" s="1" t="s">
        <v>489</v>
      </c>
    </row>
    <row r="103" spans="1:5">
      <c r="A103" s="2">
        <f t="shared" ca="1" si="0"/>
        <v>86487</v>
      </c>
      <c r="B103" s="1" t="s">
        <v>312</v>
      </c>
      <c r="C103" s="1" t="s">
        <v>374</v>
      </c>
      <c r="D103" s="29" t="s">
        <v>428</v>
      </c>
      <c r="E103" s="1" t="s">
        <v>490</v>
      </c>
    </row>
    <row r="104" spans="1:5">
      <c r="C104" s="36"/>
      <c r="E104" s="39"/>
    </row>
    <row r="105" spans="1:5">
      <c r="C105" s="36"/>
      <c r="E105" s="39"/>
    </row>
    <row r="106" spans="1:5">
      <c r="C106" s="36"/>
      <c r="E106" s="39"/>
    </row>
    <row r="107" spans="1:5">
      <c r="C107" s="36"/>
      <c r="E107" s="39"/>
    </row>
    <row r="108" spans="1:5">
      <c r="C108" s="36"/>
      <c r="E108" s="39"/>
    </row>
    <row r="109" spans="1:5">
      <c r="C109" s="36"/>
      <c r="E109" s="39"/>
    </row>
    <row r="110" spans="1:5">
      <c r="C110" s="36"/>
      <c r="E110" s="39"/>
    </row>
    <row r="111" spans="1:5">
      <c r="C111" s="36"/>
      <c r="E111" s="39"/>
    </row>
    <row r="112" spans="1:5">
      <c r="C112" s="36"/>
      <c r="E112" s="39"/>
    </row>
  </sheetData>
  <hyperlinks>
    <hyperlink ref="D2" r:id="rId1" xr:uid="{2B2CBC1E-F365-402C-B3E1-C699E971CC7B}"/>
    <hyperlink ref="D3" r:id="rId2" xr:uid="{79DFDB12-AE75-4A21-807E-98826C2D2704}"/>
    <hyperlink ref="D4" r:id="rId3" xr:uid="{B23A3DF1-CD87-459A-85CE-5CEA9A618D25}"/>
    <hyperlink ref="D5" r:id="rId4" xr:uid="{13284FC6-83E3-47A1-BE98-200C3C01EECF}"/>
    <hyperlink ref="D6" r:id="rId5" xr:uid="{D320AF55-A517-4D95-83B5-9667D12798E4}"/>
    <hyperlink ref="D7" r:id="rId6" xr:uid="{FC7346BB-3054-4BCA-A066-65471F546740}"/>
    <hyperlink ref="D8" r:id="rId7" xr:uid="{506946A7-73C2-437F-B035-B86A6D322E1B}"/>
    <hyperlink ref="D9" r:id="rId8" xr:uid="{079ECE44-901E-4BF1-B7F0-1C14FD95770C}"/>
    <hyperlink ref="D10" r:id="rId9" xr:uid="{05EAACC4-1190-4812-963D-5A3CD40065EC}"/>
    <hyperlink ref="D11" r:id="rId10" xr:uid="{4547DB87-D99B-47CB-8316-FC0F1CAA9980}"/>
    <hyperlink ref="D12" r:id="rId11" xr:uid="{C2C920C6-596A-40E2-897D-A31D36A3C333}"/>
    <hyperlink ref="D13" r:id="rId12" xr:uid="{A4B24E9B-1173-467C-B5BB-5EFB6C71019A}"/>
    <hyperlink ref="D14" r:id="rId13" xr:uid="{8C904269-5783-48C0-ACE1-ED94DFA97E36}"/>
    <hyperlink ref="D15" r:id="rId14" xr:uid="{E8780849-589F-4633-92BA-AAA03EEA24E6}"/>
    <hyperlink ref="D16" r:id="rId15" xr:uid="{85867FD4-9D4D-4B33-9670-9C70FC51C1A9}"/>
    <hyperlink ref="D17" r:id="rId16" xr:uid="{FF3B7B35-92FB-497B-A03C-FD2E731791A5}"/>
    <hyperlink ref="D18" r:id="rId17" xr:uid="{40C70412-9794-4043-BE9B-486C41305538}"/>
    <hyperlink ref="D19" r:id="rId18" xr:uid="{E13D2BD9-8AB7-4E09-9234-469F628D5768}"/>
    <hyperlink ref="D20" r:id="rId19" xr:uid="{C796E91F-C99A-4DDC-A739-6820E65F2EA2}"/>
    <hyperlink ref="D21" r:id="rId20" xr:uid="{51194B5B-6A32-4AC6-9447-8148B09B0B34}"/>
    <hyperlink ref="D22" r:id="rId21" xr:uid="{426744D1-7EF8-4D51-BDC2-73D92D56758B}"/>
    <hyperlink ref="D23" r:id="rId22" xr:uid="{ADB9584D-6577-4CB1-A277-1A4234B01696}"/>
    <hyperlink ref="D24" r:id="rId23" xr:uid="{FCC855B1-A036-467C-8485-AF730F6A4086}"/>
    <hyperlink ref="D25" r:id="rId24" xr:uid="{F1DD015A-5016-4FE4-9E89-AAE834BB8A0D}"/>
    <hyperlink ref="D26" r:id="rId25" xr:uid="{5665346F-C767-4056-8F36-B00E0737BDBB}"/>
    <hyperlink ref="D27" r:id="rId26" xr:uid="{804AB960-FD05-4F9D-904B-F7A36D2440E8}"/>
    <hyperlink ref="D28" r:id="rId27" xr:uid="{434B02BC-E313-4C1A-9EF1-207FC22FEA54}"/>
    <hyperlink ref="D29" r:id="rId28" xr:uid="{70995F80-F577-40A8-98BA-5AA7F2F1241D}"/>
    <hyperlink ref="D30" r:id="rId29" xr:uid="{9565B032-2BF5-4698-8A51-79B0DAE1DDE6}"/>
    <hyperlink ref="D31" r:id="rId30" xr:uid="{9B92663F-F56C-4D1F-9E07-D669D13AC7C8}"/>
    <hyperlink ref="D32" r:id="rId31" xr:uid="{1E2F8C43-BD3A-4421-877D-068E87BF2F21}"/>
    <hyperlink ref="D33" r:id="rId32" xr:uid="{B0FBA1DF-4FA8-4A73-981E-4A53612A07EF}"/>
    <hyperlink ref="D34" r:id="rId33" xr:uid="{81DD2C44-C0DC-49BD-9A58-2C78B798DD4C}"/>
    <hyperlink ref="D35" r:id="rId34" xr:uid="{A52C7516-0784-4715-B826-D95F2A551537}"/>
    <hyperlink ref="D36" r:id="rId35" xr:uid="{E19793AD-59A1-47C2-B0DA-75ACEAB60423}"/>
    <hyperlink ref="D37" r:id="rId36" xr:uid="{83EF1842-8FF4-4574-96AB-170AD504E232}"/>
    <hyperlink ref="D38" r:id="rId37" xr:uid="{BB0A81D1-67C4-4445-A725-76373E6BAE99}"/>
    <hyperlink ref="D39" r:id="rId38" xr:uid="{7830B1F6-0858-4198-AF2C-5E7A953B0141}"/>
    <hyperlink ref="D40" r:id="rId39" xr:uid="{5EC497A8-CF13-44AB-856D-4DDA059B6A8F}"/>
    <hyperlink ref="D41" r:id="rId40" xr:uid="{1EAB423C-6D06-494E-B11C-21C94BFAA418}"/>
    <hyperlink ref="D42" r:id="rId41" xr:uid="{2586E7C4-FDF4-48FF-A36C-AFB0BFA78296}"/>
    <hyperlink ref="D43" r:id="rId42" xr:uid="{3B7F3805-1CAF-4930-94D8-FB42C74DC465}"/>
    <hyperlink ref="D44" r:id="rId43" xr:uid="{A5DED69A-4898-4A86-974E-F98C503849C7}"/>
    <hyperlink ref="D45" r:id="rId44" xr:uid="{D0A02F38-97FC-49A4-BE21-C692F98DAC2A}"/>
    <hyperlink ref="D46" r:id="rId45" xr:uid="{67620742-2737-4E9F-9152-861919AF7B60}"/>
    <hyperlink ref="D47" r:id="rId46" xr:uid="{A2F62246-9A53-46EC-969B-7178FA25225E}"/>
    <hyperlink ref="D48" r:id="rId47" xr:uid="{6136698E-EEE2-4BAD-8D2A-C67379BC2F03}"/>
    <hyperlink ref="D49" r:id="rId48" xr:uid="{89EC4D68-29E5-4AE2-B8C5-D34783BFFDA5}"/>
    <hyperlink ref="D50" r:id="rId49" xr:uid="{0FB971E8-EFF0-45AB-94DF-06C25D276F7E}"/>
    <hyperlink ref="D51" r:id="rId50" xr:uid="{092AA78C-2C44-4A88-913F-E5305BF49E9F}"/>
    <hyperlink ref="D52" r:id="rId51" xr:uid="{D9E402C4-9CDC-446A-81FB-7098805654C5}"/>
    <hyperlink ref="D53" r:id="rId52" xr:uid="{6366A83A-4A93-4FFF-AA8E-93DDA2ED6218}"/>
    <hyperlink ref="D54" r:id="rId53" xr:uid="{1846788E-398E-4895-B2D6-838AF1FBBBE2}"/>
    <hyperlink ref="D55" r:id="rId54" xr:uid="{66A455BA-9AE3-410D-9539-E774F9BF2933}"/>
    <hyperlink ref="D56" r:id="rId55" xr:uid="{B1F96853-C048-47D8-8D02-D35F2CB740A4}"/>
    <hyperlink ref="D57" r:id="rId56" xr:uid="{D5518AE7-2D42-4359-863F-EF84E15A0F04}"/>
    <hyperlink ref="D58" r:id="rId57" xr:uid="{12C154DD-0EE5-4D8D-BC4A-6E1399B8E221}"/>
    <hyperlink ref="D59" r:id="rId58" xr:uid="{94E6B50A-8079-460C-9C5F-B25EFBAB0040}"/>
    <hyperlink ref="D60" r:id="rId59" xr:uid="{310CF6D4-1316-4D45-B884-5857D5D5F51F}"/>
    <hyperlink ref="D61" r:id="rId60" xr:uid="{B24A7B5A-A798-4770-B96B-C537D90A2890}"/>
    <hyperlink ref="D62" r:id="rId61" xr:uid="{18888F82-94CD-4992-ABD4-C68B3668AA7C}"/>
    <hyperlink ref="D63" r:id="rId62" xr:uid="{ADA63490-64B4-45E4-BA73-25E5CB816432}"/>
    <hyperlink ref="D65" r:id="rId63" xr:uid="{9C441BD5-9727-4111-81FB-535BA4A532B7}"/>
    <hyperlink ref="D66" r:id="rId64" xr:uid="{61B3DBF1-82DF-47D7-888B-E000802F24E2}"/>
    <hyperlink ref="D67" r:id="rId65" xr:uid="{8A156D06-AAAF-41F4-9BC9-BDCD55DC41FB}"/>
    <hyperlink ref="D68" r:id="rId66" xr:uid="{7FD02B26-657E-41B1-9E31-87BB75222BEA}"/>
    <hyperlink ref="D69" r:id="rId67" xr:uid="{D96EE1EA-9CFD-4A50-8718-70FE025B3382}"/>
    <hyperlink ref="D70" r:id="rId68" xr:uid="{5C44B48D-F1BA-43A6-93A8-6134DE86AA03}"/>
    <hyperlink ref="D71" r:id="rId69" xr:uid="{B1CF183F-22C2-4A9A-8469-3349E8148BEF}"/>
    <hyperlink ref="D72" r:id="rId70" xr:uid="{8128FD14-9D6D-4AE4-902D-092528FE6F5C}"/>
    <hyperlink ref="D73" r:id="rId71" xr:uid="{ED59742D-0F36-45BF-88E9-ED2288AA1F3C}"/>
    <hyperlink ref="D74" r:id="rId72" xr:uid="{345E2DD3-79F9-4746-8A7D-99B160764600}"/>
    <hyperlink ref="D75" r:id="rId73" xr:uid="{50948D33-0640-4A25-AA2E-1057419296F8}"/>
    <hyperlink ref="D76" r:id="rId74" xr:uid="{50DB76FD-7116-4286-AA55-855D6BAADDC4}"/>
    <hyperlink ref="D77" r:id="rId75" xr:uid="{E356409D-1F26-4071-879F-939C60F88C60}"/>
    <hyperlink ref="D78" r:id="rId76" xr:uid="{9B1B018A-CDCC-454A-9725-3F354B3BAA26}"/>
    <hyperlink ref="D79" r:id="rId77" xr:uid="{5E603C8F-D6F3-404E-B20D-9667FDAA6550}"/>
    <hyperlink ref="D80" r:id="rId78" xr:uid="{9F705EE7-06D0-4D03-90BD-0E720E663BD2}"/>
    <hyperlink ref="D81" r:id="rId79" xr:uid="{E36C1AC6-5FD3-4809-988A-DE13BD3924A0}"/>
    <hyperlink ref="D82" r:id="rId80" xr:uid="{1D03ADAC-FB1C-403E-BB2F-A51B1DBBDD4A}"/>
    <hyperlink ref="D83" r:id="rId81" xr:uid="{09C5C260-D1E2-432E-A49F-1ECB3CEE6FC8}"/>
    <hyperlink ref="D84" r:id="rId82" xr:uid="{A78EF805-C29E-4C98-AA7C-F34772B3CA1A}"/>
    <hyperlink ref="D85" r:id="rId83" xr:uid="{A1E6883F-73D8-4E3D-A7B9-9817E60FB2BD}"/>
    <hyperlink ref="D86" r:id="rId84" xr:uid="{AD9B8087-E292-4102-9F86-F353158CF74D}"/>
    <hyperlink ref="D87" r:id="rId85" xr:uid="{D17C693F-967B-4031-9C60-589EE1973EA9}"/>
    <hyperlink ref="D88" r:id="rId86" xr:uid="{19A82C1B-F8BD-47B7-B577-DCFB6BDD0F5D}"/>
    <hyperlink ref="D89" r:id="rId87" xr:uid="{5797FA03-B45E-43F0-A83E-4959B8BF3204}"/>
    <hyperlink ref="D90" r:id="rId88" xr:uid="{AF70EBD5-8C94-4146-B4F6-DC5B4B424A3E}"/>
    <hyperlink ref="D91" r:id="rId89" xr:uid="{C5B79BF1-9558-4CFA-819B-AEB245AC2683}"/>
    <hyperlink ref="D92" r:id="rId90" xr:uid="{03FB7291-76EB-4EE1-9256-7CB4963A756F}"/>
    <hyperlink ref="D93" r:id="rId91" xr:uid="{34036C19-D5F1-4995-925F-240DBC39EE76}"/>
    <hyperlink ref="D94" r:id="rId92" xr:uid="{0B7D01BB-AC93-4674-A784-D62FEE85DDB2}"/>
    <hyperlink ref="D95" r:id="rId93" xr:uid="{D6844232-E115-4319-A650-1CB463B7FCD6}"/>
    <hyperlink ref="D96" r:id="rId94" xr:uid="{530E6609-DC6A-4019-ADF9-5321E91C4144}"/>
    <hyperlink ref="D97" r:id="rId95" xr:uid="{51B15BB6-FBDC-4337-B5E4-1AF71B2A1DDD}"/>
    <hyperlink ref="D98" r:id="rId96" xr:uid="{C6FA0B60-2DB9-4FAA-B9DE-7ED5AE7BF006}"/>
    <hyperlink ref="D99" r:id="rId97" xr:uid="{85D96A2F-1384-4484-9418-2B7649085085}"/>
    <hyperlink ref="D100" r:id="rId98" xr:uid="{10888B82-21A9-478A-B9FC-4982A812EF9B}"/>
    <hyperlink ref="D101" r:id="rId99" xr:uid="{BF4AF302-2147-424C-9E2C-B6E0C03F4020}"/>
    <hyperlink ref="D102" r:id="rId100" xr:uid="{0D03F215-1CF9-4E3D-975C-AC8236FB75A6}"/>
    <hyperlink ref="D103" r:id="rId101" xr:uid="{F94F9C1C-DCE5-4602-A175-F911906FCD30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5" workbookViewId="0">
      <selection activeCell="J37" sqref="J37"/>
    </sheetView>
  </sheetViews>
  <sheetFormatPr defaultRowHeight="14.6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>
      <c r="A1" s="27" t="s">
        <v>178</v>
      </c>
      <c r="B1" s="8" t="s">
        <v>177</v>
      </c>
      <c r="C1" s="9" t="s">
        <v>179</v>
      </c>
    </row>
    <row r="2" spans="1:13" s="4" customFormat="1" ht="18.45">
      <c r="A2" s="26" t="s">
        <v>172</v>
      </c>
      <c r="B2" s="5" t="s">
        <v>125</v>
      </c>
      <c r="C2" s="35" t="s">
        <v>491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>
      <c r="B3" s="8" t="s">
        <v>140</v>
      </c>
      <c r="C3" s="9">
        <f ca="1">COUNTA('Team Information'!A:A) - COUNTA('Team Information'!A1)</f>
        <v>102</v>
      </c>
      <c r="E3" s="32" t="s">
        <v>136</v>
      </c>
      <c r="F3" s="32"/>
      <c r="G3" s="32"/>
      <c r="H3" s="32"/>
      <c r="I3" s="32"/>
      <c r="J3" s="11">
        <f ca="1">C25 - TIME(0, C20, 0)  + TIME(0, C35, 0) + TIME(0, SUM(E38:L38), 0)*_xlfn.CEILING.MATH(C3/(2*C33))</f>
        <v>0.63634259259259274</v>
      </c>
    </row>
    <row r="6" spans="1:13">
      <c r="A6" s="27" t="s">
        <v>158</v>
      </c>
      <c r="B6" s="8" t="s">
        <v>126</v>
      </c>
      <c r="C6" s="18" t="s">
        <v>127</v>
      </c>
      <c r="D6" s="33" t="s">
        <v>157</v>
      </c>
      <c r="E6" s="34"/>
      <c r="F6" s="34"/>
      <c r="G6" s="34"/>
      <c r="H6" s="34"/>
      <c r="I6" s="34"/>
      <c r="J6" s="34"/>
      <c r="K6" s="34"/>
      <c r="L6" s="34"/>
      <c r="M6" s="7"/>
    </row>
    <row r="7" spans="1:13">
      <c r="A7" s="27" t="s">
        <v>159</v>
      </c>
      <c r="B7" s="8" t="s">
        <v>144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>
      <c r="A8" s="27" t="s">
        <v>232</v>
      </c>
      <c r="B8" s="8" t="s">
        <v>240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>
      <c r="A9" s="27" t="s">
        <v>233</v>
      </c>
      <c r="B9" s="8" t="s">
        <v>239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>
      <c r="A10" s="27" t="s">
        <v>238</v>
      </c>
      <c r="B10" s="8" t="s">
        <v>241</v>
      </c>
      <c r="C10" s="18" t="s">
        <v>242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>
      <c r="A11" s="27" t="s">
        <v>234</v>
      </c>
      <c r="B11" s="8" t="s">
        <v>237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>
      <c r="A12" s="7" t="s">
        <v>235</v>
      </c>
      <c r="B12" s="8" t="s">
        <v>236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>
      <c r="A13" s="7" t="s">
        <v>243</v>
      </c>
      <c r="B13" s="8" t="s">
        <v>244</v>
      </c>
      <c r="C13" s="18" t="s">
        <v>245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>
      <c r="A14" s="7"/>
      <c r="B14" s="12"/>
    </row>
    <row r="15" spans="1:13">
      <c r="B15" s="12" t="s">
        <v>137</v>
      </c>
      <c r="D15" s="13" t="s">
        <v>128</v>
      </c>
    </row>
    <row r="16" spans="1:13">
      <c r="A16" s="27" t="s">
        <v>176</v>
      </c>
      <c r="B16" s="8" t="s">
        <v>151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>
      <c r="A17" s="27" t="s">
        <v>160</v>
      </c>
      <c r="B17" s="8" t="s">
        <v>143</v>
      </c>
      <c r="C17" s="18">
        <v>9</v>
      </c>
      <c r="D17" s="22">
        <f ca="1">CEILING(C3/12, 1)</f>
        <v>9</v>
      </c>
      <c r="E17" s="21"/>
    </row>
    <row r="18" spans="1:13">
      <c r="A18" s="27" t="s">
        <v>161</v>
      </c>
      <c r="B18" s="8" t="s">
        <v>141</v>
      </c>
      <c r="C18" s="18" t="s">
        <v>186</v>
      </c>
      <c r="D18" s="22" t="str">
        <f ca="1">IF(OR(MOD(C3, 2), C17 &gt; 2), "Yes", "No")</f>
        <v>Yes</v>
      </c>
      <c r="E18" s="21"/>
    </row>
    <row r="19" spans="1:13">
      <c r="B19" s="8" t="s">
        <v>153</v>
      </c>
      <c r="C19" s="19">
        <f ca="1">IF(C18="Yes",1+_xlfn.CEILING.MATH((C3-1)/C17), _xlfn.CEILING.MATH(C3/C17))</f>
        <v>13</v>
      </c>
      <c r="D19" s="10" t="s">
        <v>154</v>
      </c>
      <c r="E19" s="21"/>
      <c r="F19" s="9"/>
    </row>
    <row r="20" spans="1:13">
      <c r="A20" s="27" t="s">
        <v>162</v>
      </c>
      <c r="B20" s="8" t="s">
        <v>142</v>
      </c>
      <c r="C20" s="18">
        <v>17.5</v>
      </c>
      <c r="D20" s="10">
        <v>17.5</v>
      </c>
      <c r="E20" s="20"/>
    </row>
    <row r="21" spans="1:13">
      <c r="A21" s="27" t="s">
        <v>163</v>
      </c>
      <c r="B21" s="8" t="s">
        <v>145</v>
      </c>
      <c r="C21" s="18">
        <v>3</v>
      </c>
      <c r="D21" s="10">
        <v>3</v>
      </c>
    </row>
    <row r="22" spans="1:13">
      <c r="A22" s="27" t="s">
        <v>164</v>
      </c>
      <c r="B22" s="8" t="s">
        <v>146</v>
      </c>
      <c r="C22" s="18">
        <v>7.5</v>
      </c>
      <c r="D22" s="10">
        <f>MAX(C21*(20 - C20), 0)</f>
        <v>7.5</v>
      </c>
    </row>
    <row r="23" spans="1:13">
      <c r="A23" s="27" t="s">
        <v>165</v>
      </c>
      <c r="B23" s="8" t="s">
        <v>147</v>
      </c>
      <c r="C23" s="28">
        <v>0.54166666666666663</v>
      </c>
      <c r="D23" s="14">
        <v>0.54166666666666663</v>
      </c>
    </row>
    <row r="24" spans="1:13">
      <c r="A24" s="27" t="s">
        <v>166</v>
      </c>
      <c r="B24" s="8" t="s">
        <v>149</v>
      </c>
      <c r="C24" s="18">
        <v>45</v>
      </c>
      <c r="D24" s="10">
        <v>40</v>
      </c>
      <c r="K24" s="13"/>
      <c r="L24" s="13"/>
      <c r="M24" s="13"/>
    </row>
    <row r="25" spans="1:13">
      <c r="B25" s="8" t="s">
        <v>152</v>
      </c>
      <c r="C25" s="25">
        <f ca="1">C16 + C19*((TIME(0, C20, 0) + TIME(0, C22, 0)/C21))</f>
        <v>0.54953703703703705</v>
      </c>
      <c r="K25" s="13"/>
      <c r="L25" s="13"/>
      <c r="M25" s="13"/>
    </row>
    <row r="26" spans="1:13">
      <c r="C26" s="25"/>
      <c r="K26" s="13"/>
      <c r="L26" s="13"/>
      <c r="M26" s="13"/>
    </row>
    <row r="27" spans="1:13" s="15" customFormat="1">
      <c r="A27" s="27" t="s">
        <v>173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155</v>
      </c>
      <c r="G27" s="15" t="s">
        <v>492</v>
      </c>
      <c r="H27" s="15" t="s">
        <v>493</v>
      </c>
      <c r="I27" s="15" t="s">
        <v>494</v>
      </c>
      <c r="J27" s="15" t="s">
        <v>495</v>
      </c>
      <c r="K27" s="16" t="s">
        <v>496</v>
      </c>
      <c r="L27" s="16"/>
      <c r="M27" s="16"/>
    </row>
    <row r="28" spans="1:13" s="15" customFormat="1">
      <c r="A28" s="27" t="s">
        <v>174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G28" s="15" t="s">
        <v>497</v>
      </c>
      <c r="H28" s="15" t="s">
        <v>498</v>
      </c>
      <c r="I28" s="15" t="s">
        <v>499</v>
      </c>
      <c r="J28" s="15" t="s">
        <v>500</v>
      </c>
      <c r="K28" s="16" t="s">
        <v>501</v>
      </c>
      <c r="L28" s="16"/>
      <c r="M28" s="16"/>
    </row>
    <row r="29" spans="1:13" s="15" customFormat="1">
      <c r="A29" s="27" t="s">
        <v>175</v>
      </c>
      <c r="B29" s="8" t="s">
        <v>134</v>
      </c>
      <c r="C29" s="15" t="s">
        <v>188</v>
      </c>
      <c r="D29" s="16" t="s">
        <v>187</v>
      </c>
      <c r="E29" s="15" t="s">
        <v>189</v>
      </c>
      <c r="F29" s="15" t="s">
        <v>190</v>
      </c>
      <c r="G29" s="15" t="s">
        <v>502</v>
      </c>
      <c r="H29" s="15" t="s">
        <v>503</v>
      </c>
      <c r="I29" s="15" t="s">
        <v>504</v>
      </c>
      <c r="J29" s="15" t="s">
        <v>505</v>
      </c>
      <c r="K29" s="16" t="s">
        <v>506</v>
      </c>
      <c r="L29" s="16"/>
      <c r="M29" s="16"/>
    </row>
    <row r="30" spans="1:13" s="9" customFormat="1">
      <c r="A30" s="27"/>
      <c r="B30" s="8"/>
      <c r="D30" s="10"/>
      <c r="K30" s="10"/>
      <c r="L30" s="10"/>
      <c r="M30" s="10"/>
    </row>
    <row r="31" spans="1:13" s="9" customFormat="1">
      <c r="A31" s="27"/>
      <c r="B31" s="8"/>
      <c r="D31" s="10"/>
      <c r="K31" s="10"/>
      <c r="L31" s="10"/>
      <c r="M31" s="10"/>
    </row>
    <row r="32" spans="1:13">
      <c r="B32" s="12" t="s">
        <v>138</v>
      </c>
      <c r="I32" s="8"/>
      <c r="J32" s="9"/>
    </row>
    <row r="33" spans="1:13">
      <c r="A33" s="27" t="s">
        <v>167</v>
      </c>
      <c r="B33" s="8" t="s">
        <v>156</v>
      </c>
      <c r="C33" s="18">
        <v>8</v>
      </c>
      <c r="D33" s="10">
        <f ca="1">CEILING(3/2*D17*C38/(D20+D22/D21), 1)</f>
        <v>7</v>
      </c>
      <c r="I33" s="8"/>
      <c r="J33" s="9"/>
    </row>
    <row r="34" spans="1:13">
      <c r="A34" s="27" t="s">
        <v>168</v>
      </c>
      <c r="B34" s="8" t="s">
        <v>148</v>
      </c>
      <c r="C34" s="28">
        <v>0.54166666666666663</v>
      </c>
      <c r="D34" s="14">
        <v>0.54166666666666663</v>
      </c>
      <c r="I34" s="8"/>
      <c r="J34" s="9"/>
    </row>
    <row r="35" spans="1:13">
      <c r="A35" s="27" t="s">
        <v>169</v>
      </c>
      <c r="B35" s="8" t="s">
        <v>150</v>
      </c>
      <c r="C35" s="18">
        <v>30</v>
      </c>
      <c r="D35" s="10">
        <v>30</v>
      </c>
    </row>
    <row r="37" spans="1:13" s="15" customFormat="1" ht="15.45" customHeight="1">
      <c r="A37" s="27" t="s">
        <v>170</v>
      </c>
      <c r="B37" s="8" t="s">
        <v>135</v>
      </c>
      <c r="C37" s="15" t="s">
        <v>180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>
      <c r="A38" s="27" t="s">
        <v>171</v>
      </c>
      <c r="B38" s="8" t="s">
        <v>246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>
      <c r="A39" s="27"/>
      <c r="B39" s="8" t="s">
        <v>247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>
      <c r="A41" s="27" t="s">
        <v>182</v>
      </c>
      <c r="B41" s="8" t="s">
        <v>181</v>
      </c>
      <c r="C41" s="17" t="s">
        <v>185</v>
      </c>
      <c r="D41" s="16" t="s">
        <v>183</v>
      </c>
      <c r="E41" s="15" t="s">
        <v>184</v>
      </c>
      <c r="F41" s="15" t="s">
        <v>248</v>
      </c>
      <c r="G41" s="15" t="s">
        <v>249</v>
      </c>
      <c r="H41" s="15" t="s">
        <v>250</v>
      </c>
      <c r="I41" s="15" t="s">
        <v>507</v>
      </c>
      <c r="J41" s="15" t="s">
        <v>508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2019-04-11T20:30:29Z</dcterms:modified>
</cp:coreProperties>
</file>