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256A9F8A-90DE-4C52-A958-2D558DF4071E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<sst xmlns="http://schemas.openxmlformats.org/spreadsheetml/2006/main" count="530" uniqueCount="519">
  <si>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</si>
  <si>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</si>
  <si>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</si>
  <si>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</si>
  <si>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</si>
  <si>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</si>
  <si>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</si>
  <si>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</si>
  <si>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</si>
  <si>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</si>
  <si>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</si>
  <si>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</si>
  <si>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</si>
  <si>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</si>
  <si>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</si>
  <si>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</si>
  <si>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</si>
  <si>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</si>
  <si>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</si>
  <si>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</si>
  <si>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</si>
  <si>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</si>
  <si>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</si>
  <si>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</si>
  <si>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</si>
  <si>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</si>
  <si>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</si>
  <si>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</si>
  <si>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</si>
  <si>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</si>
  <si>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</si>
  <si>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</si>
  <si>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</si>
  <si>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</si>
  <si>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</si>
  <si>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</si>
  <si>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</si>
  <si>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</si>
  <si>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</si>
  <si>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</si>
  <si>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</si>
  <si>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</si>
  <si>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</si>
  <si>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</si>
  <si>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</si>
  <si>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</si>
  <si>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</si>
  <si>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</si>
  <si>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</si>
  <si>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</si>
  <si>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</si>
  <si>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</si>
  <si>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</si>
  <si>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</si>
  <si>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</si>
  <si>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</si>
  <si>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</si>
  <si>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</si>
  <si>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</si>
  <si>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</si>
  <si>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</si>
  <si>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</si>
  <si>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</si>
  <si>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</si>
  <si>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</si>
  <si>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</si>
  <si>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</si>
  <si>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</si>
  <si>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</si>
  <si>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</si>
  <si>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</si>
  <si>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</si>
  <si>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</si>
  <si>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</si>
  <si>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</si>
  <si>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</si>
  <si>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</si>
  <si>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</si>
  <si>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</si>
  <si>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</si>
  <si>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</si>
  <si>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</si>
  <si>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</si>
  <si>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</si>
  <si>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</si>
  <si>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</si>
  <si>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</si>
  <si>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</si>
  <si>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</si>
  <si>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</si>
  <si>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</si>
  <si>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</si>
  <si>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</si>
  <si>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</si>
  <si>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</si>
  <si>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</si>
  <si>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</si>
  <si>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</si>
  <si>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</si>
  <si>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</si>
  <si>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</si>
  <si>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</si>
  <si>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</si>
  <si>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</si>
  <si>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</si>
  <si>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</si>
  <si>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</si>
  <si>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</si>
  <si>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</si>
  <si>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</si>
  <si>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</si>
  <si>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</si>
  <si>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</si>
  <si>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</si>
  <si>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</si>
  <si>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</si>
  <si>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</si>
  <si>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</si>
  <si>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</si>
  <si>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</si>
  <si>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</si>
  <si>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</si>
  <si>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</si>
  <si>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</si>
  <si>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</si>
  <si>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</si>
  <si>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</si>
  <si>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</si>
  <si>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</si>
  <si>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</si>
  <si>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</si>
  <si>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</si>
  <si>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</si>
  <si>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</si>
  <si>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</si>
  <si>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</si>
  <si>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</si>
  <si>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</si>
  <si>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</si>
  <si>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</si>
  <si>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</si>
  <si>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</si>
  <si>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</si>
  <si>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</si>
  <si>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</si>
  <si>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</si>
  <si>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</si>
  <si>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</si>
  <si>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</si>
  <si>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</si>
  <si>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</si>
  <si>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</si>
  <si>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</si>
  <si>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</si>
  <si>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</si>
  <si>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</si>
  <si>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</si>
  <si>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</si>
  <si>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</si>
  <si>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</si>
  <si>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</si>
  <si>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</si>
  <si>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</si>
  <si>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</si>
  <si>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</si>
  <si>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</si>
  <si>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</si>
  <si>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</si>
  <si>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</si>
  <si>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</si>
  <si>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</si>
  <si>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</si>
  <si>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</si>
  <si>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</si>
  <si>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</si>
  <si>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</si>
  <si>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</si>
  <si>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</si>
  <si>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</si>
  <si>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</si>
  <si>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</si>
  <si>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</si>
  <si>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</si>
  <si>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</si>
  <si>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</si>
  <si>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</si>
  <si>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</si>
  <si>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</si>
  <si>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</si>
  <si>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</si>
  <si>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</si>
  <si>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</si>
  <si>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</si>
  <si>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</si>
  <si>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</si>
  <si>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</si>
  <si>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</si>
  <si>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</si>
  <si>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</si>
  <si>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</si>
  <si>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</si>
  <si>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</si>
  <si>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</si>
  <si>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</si>
  <si>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</si>
  <si>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</si>
  <si>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</si>
  <si>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</si>
  <si>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</si>
  <si>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</si>
  <si>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</si>
  <si>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</si>
  <si>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</si>
  <si>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</si>
  <si>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</si>
  <si>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</si>
  <si>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</si>
  <si>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</si>
  <si>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</si>
  <si>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</si>
  <si>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</si>
  <si>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</si>
  <si>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</si>
  <si>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</si>
  <si>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</si>
  <si>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</si>
  <si>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</si>
  <si>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</si>
  <si>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</si>
  <si>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</si>
  <si>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</si>
  <si>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</si>
  <si>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</si>
  <si>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</si>
  <si>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</si>
  <si>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</si>
  <si>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</si>
  <si>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</si>
  <si>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</si>
  <si>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</si>
  <si>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</si>
  <si>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</si>
  <si>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</si>
  <si>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</si>
  <si>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</si>
  <si>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</si>
  <si>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</si>
  <si>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</si>
  <si>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</si>
  <si>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</si>
  <si>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</si>
  <si>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</si>
  <si>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</si>
  <si>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</si>
  <si>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</si>
  <si>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</si>
  <si>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</si>
  <si>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</si>
  <si>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</si>
  <si>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</si>
  <si>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</si>
  <si>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</si>
  <si>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</si>
  <si>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</si>
  <si>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</si>
  <si>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</si>
  <si>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</si>
  <si>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</si>
  <si>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</si>
  <si>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</si>
  <si>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</si>
  <si>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</si>
  <si>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</si>
  <si>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</si>
  <si>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</si>
  <si>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</si>
  <si>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</si>
  <si>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</si>
  <si>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</si>
  <si>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</si>
  <si>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</si>
  <si>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</si>
  <si>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</si>
  <si>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</si>
  <si>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</si>
  <si>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</si>
  <si>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</si>
  <si>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</si>
  <si>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</si>
  <si>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</si>
  <si>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</si>
  <si>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</si>
  <si>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</si>
  <si>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</si>
  <si>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</si>
  <si>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</si>
  <si>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</si>
  <si>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</si>
  <si>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</si>
  <si>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</si>
  <si>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</si>
  <si>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</si>
  <si>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</si>
  <si>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</si>
  <si>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</si>
  <si>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</si>
  <si>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</si>
  <si>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</si>
  <si>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</si>
  <si>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</si>
  <si>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</si>
  <si>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</si>
  <si>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</si>
  <si>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</si>
  <si>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</si>
  <si>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</si>
  <si>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</si>
  <si>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</si>
  <si>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</si>
  <si>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</si>
  <si>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</si>
  <si>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</si>
  <si>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</si>
  <si>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</si>
  <si>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</si>
  <si>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</si>
  <si>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</si>
  <si>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</si>
  <si>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</si>
  <si>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</si>
  <si>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</si>
  <si>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</si>
  <si>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</si>
  <si>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</si>
  <si>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</si>
  <si>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</si>
  <si>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</si>
  <si>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</si>
  <si>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</si>
  <si>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</si>
  <si>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</si>
  <si>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</si>
  <si>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</si>
  <si>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</si>
  <si>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</si>
  <si>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</si>
  <si>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</si>
  <si>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</si>
  <si>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</si>
  <si>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</si>
  <si>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</si>
  <si>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</si>
  <si>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</si>
  <si>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</si>
  <si>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</si>
  <si>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</si>
  <si>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</si>
  <si>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</si>
  <si>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</si>
  <si>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</si>
  <si>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</si>
  <si>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</si>
  <si>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</si>
  <si>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</si>
  <si>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</si>
  <si>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</si>
  <si>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</si>
  <si>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</si>
  <si>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</si>
  <si>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</si>
  <si>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</si>
  <si>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</si>
  <si>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</si>
  <si>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</si>
  <si>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</si>
  <si>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</si>
  <si>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</si>
  <si>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</si>
  <si>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</si>
  <si>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</si>
  <si>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</si>
  <si>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</si>
  <si>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</si>
  <si>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</si>
  <si>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</si>
  <si>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</si>
  <si>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</si>
  <si>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</si>
  <si>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</si>
  <si>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</si>
  <si>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</si>
  <si>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</si>
  <si>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</si>
  <si>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</si>
  <si>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</si>
  <si>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</si>
  <si>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</si>
  <si>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</si>
  <si>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</si>
  <si>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</si>
  <si>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</si>
  <si>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</si>
  <si>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</si>
  <si>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</si>
  <si>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</si>
  <si>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</si>
  <si>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</si>
  <si>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</si>
  <si>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</si>
  <si>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</si>
  <si>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</si>
  <si>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</si>
  <si>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</si>
  <si>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</si>
  <si>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</si>
  <si>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</si>
  <si>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</si>
  <si>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</si>
  <si>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</si>
  <si>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</si>
  <si>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</si>
  <si>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</si>
  <si>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</si>
  <si>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</si>
  <si>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</si>
  <si>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</si>
  <si>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</si>
  <si>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</si>
  <si>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</si>
  <si>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</si>
  <si>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</si>
  <si>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</si>
  <si>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</si>
  <si>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</si>
  <si>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</si>
  <si>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</si>
  <si>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</si>
  <si>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</si>
  <si>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</si>
  <si>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</si>
  <si>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</si>
  <si>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</si>
  <si>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</si>
  <si>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</si>
  <si>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</si>
  <si>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</si>
  <si>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</si>
  <si>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</si>
  <si>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</si>
  <si>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</si>
  <si>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</si>
  <si>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</si>
  <si>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</si>
  <si>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</si>
  <si>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</si>
  <si>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</si>
  <si>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</si>
  <si>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</si>
  <si>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</si>
  <si>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</si>
  <si>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</si>
  <si>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</si>
  <si>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</si>
  <si>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</si>
  <si>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</si>
  <si>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</si>
  <si>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</si>
  <si>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</si>
  <si>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</si>
  <si>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</si>
  <si>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</si>
  <si>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</si>
  <si>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</si>
  <si>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</si>
  <si>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</si>
  <si>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</si>
  <si>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</si>
  <si>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</si>
  <si>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</si>
  <si>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</si>
  <si>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</si>
  <si>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</si>
  <si>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</si>
  <si>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</si>
  <si>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</si>
  <si>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</si>
  <si>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</si>
  <si>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</si>
  <si>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</si>
  <si>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</si>
  <si>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</si>
  <si>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</si>
  <si>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</si>
  <si>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</si>
  <si>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</si>
  <si>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</si>
  <si>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</si>
  <si>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</si>
  <si>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huge</t>
  </si>
  <si>
    <t>P5</t>
  </si>
  <si>
    <t>P6</t>
  </si>
  <si>
    <t>P7</t>
  </si>
  <si>
    <t>P8</t>
  </si>
  <si>
    <t>RD5</t>
  </si>
  <si>
    <t>RD6</t>
  </si>
  <si>
    <t>RD7</t>
  </si>
  <si>
    <t>RD8</t>
  </si>
  <si>
    <t>CV 5</t>
  </si>
  <si>
    <t>CV 6</t>
  </si>
  <si>
    <t>CV 7</t>
  </si>
  <si>
    <t>CV 8</t>
  </si>
  <si>
    <t>P9</t>
  </si>
  <si>
    <t>RD9</t>
  </si>
  <si>
    <t>CV 9</t>
  </si>
  <si>
    <t>Scrooge</t>
  </si>
  <si>
    <t>Donald</t>
  </si>
  <si>
    <t>Webby</t>
  </si>
  <si>
    <t>Beakley</t>
  </si>
  <si>
    <t>Phooey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</si>
</sst>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A14" sqref="A14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>
      <c r="A23" s="2">
        <v>26167</v>
      </c>
      <c r="B23" s="2" t="s">
        <v>183</v>
      </c>
      <c r="C23" s="2" t="s">
        <v>184</v>
      </c>
      <c r="D23" s="4" t="s">
        <v>185</v>
      </c>
      <c r="E23" s="2" t="s">
        <v>186</v>
      </c>
      <c r="F23"/>
      <c r="G23"/>
    </row>
    <row r="24" spans="1:10">
      <c r="A24" s="2">
        <v>3539</v>
      </c>
      <c r="B24" s="2" t="s">
        <v>187</v>
      </c>
      <c r="C24" s="2" t="s">
        <v>188</v>
      </c>
      <c r="D24" s="4" t="s">
        <v>189</v>
      </c>
      <c r="E24" s="2" t="s">
        <v>190</v>
      </c>
      <c r="F24"/>
      <c r="G24"/>
    </row>
    <row r="25" spans="1:10">
      <c r="A25" s="2">
        <v>42650</v>
      </c>
      <c r="B25" s="2" t="s">
        <v>191</v>
      </c>
      <c r="C25" s="2" t="s">
        <v>192</v>
      </c>
      <c r="D25" s="4" t="s">
        <v>193</v>
      </c>
      <c r="E25" s="2" t="s">
        <v>194</v>
      </c>
      <c r="F25"/>
      <c r="G25"/>
    </row>
    <row r="26" spans="1:10">
      <c r="A26" s="2">
        <v>1313</v>
      </c>
      <c r="B26" s="2" t="s">
        <v>195</v>
      </c>
      <c r="C26" s="2" t="s">
        <v>196</v>
      </c>
      <c r="D26" s="4" t="s">
        <v>197</v>
      </c>
      <c r="E26" s="2" t="s">
        <v>190</v>
      </c>
      <c r="F26"/>
      <c r="G26"/>
    </row>
    <row r="27" spans="1:10">
      <c r="A27" s="2">
        <v>25167</v>
      </c>
      <c r="B27" s="2" t="s">
        <v>198</v>
      </c>
      <c r="C27" s="2" t="s">
        <v>199</v>
      </c>
      <c r="D27" s="4" t="s">
        <v>200</v>
      </c>
      <c r="E27" s="2" t="s">
        <v>201</v>
      </c>
      <c r="F27"/>
      <c r="G27"/>
    </row>
    <row r="28" spans="1:10">
      <c r="A28" s="2">
        <v>11795</v>
      </c>
      <c r="B28" s="2" t="s">
        <v>202</v>
      </c>
      <c r="C28" s="2" t="s">
        <v>203</v>
      </c>
      <c r="D28" s="4" t="s">
        <v>204</v>
      </c>
      <c r="E28" s="2" t="s">
        <v>205</v>
      </c>
      <c r="F28"/>
      <c r="G28"/>
    </row>
    <row r="29" spans="1:10">
      <c r="A29" s="2">
        <v>45977</v>
      </c>
      <c r="B29" s="2" t="s">
        <v>206</v>
      </c>
      <c r="C29" s="2" t="s">
        <v>207</v>
      </c>
      <c r="D29" s="4" t="s">
        <v>208</v>
      </c>
      <c r="E29" s="2" t="s">
        <v>209</v>
      </c>
      <c r="F29"/>
      <c r="G29"/>
    </row>
    <row r="30" spans="1:10">
      <c r="A30" s="2">
        <v>45822</v>
      </c>
      <c r="B30" s="2" t="s">
        <v>210</v>
      </c>
      <c r="C30" s="2" t="s">
        <v>211</v>
      </c>
      <c r="D30" s="4" t="s">
        <v>212</v>
      </c>
      <c r="E30" s="2" t="s">
        <v>213</v>
      </c>
      <c r="F30"/>
      <c r="G30"/>
    </row>
    <row r="31" spans="1:10">
      <c r="A31" s="2">
        <v>24199</v>
      </c>
      <c r="B31" s="2" t="s">
        <v>214</v>
      </c>
      <c r="C31" s="2" t="s">
        <v>215</v>
      </c>
      <c r="D31" s="4" t="s">
        <v>216</v>
      </c>
      <c r="E31" s="2" t="s">
        <v>217</v>
      </c>
      <c r="F31"/>
      <c r="G31"/>
    </row>
    <row r="32" spans="1:10">
      <c r="A32" s="2">
        <v>32148</v>
      </c>
      <c r="B32" s="2" t="s">
        <v>218</v>
      </c>
      <c r="C32" s="2" t="s">
        <v>219</v>
      </c>
      <c r="D32" s="4" t="s">
        <v>220</v>
      </c>
      <c r="E32" s="2" t="s">
        <v>221</v>
      </c>
      <c r="F32"/>
      <c r="G32"/>
    </row>
    <row r="33" spans="1:7">
      <c r="A33" s="2">
        <v>18274</v>
      </c>
      <c r="B33" s="2" t="s">
        <v>222</v>
      </c>
      <c r="C33" s="2" t="s">
        <v>223</v>
      </c>
      <c r="D33" s="4" t="s">
        <v>224</v>
      </c>
      <c r="E33" s="2" t="s">
        <v>225</v>
      </c>
      <c r="F33"/>
      <c r="G33"/>
    </row>
    <row r="34" spans="1:7">
      <c r="A34" s="2">
        <v>27828</v>
      </c>
      <c r="B34" s="2" t="s">
        <v>226</v>
      </c>
      <c r="C34" s="2" t="s">
        <v>227</v>
      </c>
      <c r="D34" s="4" t="s">
        <v>228</v>
      </c>
      <c r="E34" s="2" t="s">
        <v>229</v>
      </c>
      <c r="F34"/>
      <c r="G34"/>
    </row>
    <row r="35" spans="1:7">
      <c r="A35" s="2">
        <v>8778</v>
      </c>
      <c r="B35" s="2" t="s">
        <v>230</v>
      </c>
      <c r="C35" s="2" t="s">
        <v>231</v>
      </c>
      <c r="D35" s="4" t="s">
        <v>232</v>
      </c>
      <c r="E35" s="2" t="s">
        <v>233</v>
      </c>
      <c r="F35"/>
      <c r="G35"/>
    </row>
    <row r="36" spans="1:7">
      <c r="A36" s="2">
        <v>46561</v>
      </c>
      <c r="B36" s="2" t="s">
        <v>234</v>
      </c>
      <c r="C36" s="2" t="s">
        <v>235</v>
      </c>
      <c r="D36" s="4" t="s">
        <v>236</v>
      </c>
      <c r="E36" s="2" t="s">
        <v>237</v>
      </c>
      <c r="F36"/>
      <c r="G36"/>
    </row>
    <row r="37" spans="1:7">
      <c r="A37" s="2">
        <v>24436</v>
      </c>
      <c r="B37" s="2" t="s">
        <v>238</v>
      </c>
      <c r="C37" s="2" t="s">
        <v>239</v>
      </c>
      <c r="D37" s="4" t="s">
        <v>240</v>
      </c>
      <c r="E37" s="2" t="s">
        <v>241</v>
      </c>
      <c r="F37"/>
      <c r="G37"/>
    </row>
    <row r="38" spans="1:7">
      <c r="A38" s="2">
        <v>48988</v>
      </c>
      <c r="B38" s="39" t="s">
        <v>242</v>
      </c>
      <c r="C38" s="2" t="s">
        <v>243</v>
      </c>
      <c r="D38" s="4" t="s">
        <v>244</v>
      </c>
      <c r="E38" s="2" t="s">
        <v>245</v>
      </c>
      <c r="F38"/>
      <c r="G38"/>
    </row>
    <row r="39" spans="1:7">
      <c r="A39" s="2">
        <v>41349</v>
      </c>
      <c r="B39" s="39" t="s">
        <v>246</v>
      </c>
      <c r="C39" s="2" t="s">
        <v>247</v>
      </c>
      <c r="D39" s="4" t="s">
        <v>248</v>
      </c>
      <c r="E39" s="2" t="s">
        <v>249</v>
      </c>
      <c r="F39"/>
      <c r="G39"/>
    </row>
    <row r="40" spans="1:7">
      <c r="A40" s="2">
        <v>9392</v>
      </c>
      <c r="B40" s="40" t="s">
        <v>250</v>
      </c>
      <c r="C40" s="2" t="s">
        <v>251</v>
      </c>
      <c r="D40" s="4" t="s">
        <v>252</v>
      </c>
      <c r="E40" s="2" t="s">
        <v>253</v>
      </c>
      <c r="F40"/>
      <c r="G40"/>
    </row>
    <row r="41" spans="1:7">
      <c r="A41" s="2">
        <v>48867</v>
      </c>
      <c r="B41" s="40" t="s">
        <v>254</v>
      </c>
      <c r="C41" s="2" t="s">
        <v>255</v>
      </c>
      <c r="D41" s="4" t="s">
        <v>256</v>
      </c>
      <c r="E41" s="2" t="s">
        <v>257</v>
      </c>
      <c r="F41"/>
      <c r="G41"/>
    </row>
    <row r="42" spans="1:7">
      <c r="A42" s="2">
        <v>41348</v>
      </c>
      <c r="B42" s="1" t="s">
        <v>258</v>
      </c>
      <c r="C42" s="1" t="s">
        <v>259</v>
      </c>
      <c r="D42" s="4" t="s">
        <v>260</v>
      </c>
      <c r="E42" s="1" t="s">
        <v>261</v>
      </c>
    </row>
    <row r="43" spans="1:7">
      <c r="A43" s="2">
        <v>86535</v>
      </c>
      <c r="B43" s="1" t="s">
        <v>262</v>
      </c>
      <c r="C43" s="1" t="s">
        <v>263</v>
      </c>
      <c r="D43" s="4" t="s">
        <v>264</v>
      </c>
      <c r="E43" s="1" t="s">
        <v>265</v>
      </c>
    </row>
    <row r="44" spans="1:7">
      <c r="A44" s="2">
        <v>79682</v>
      </c>
      <c r="B44" s="1" t="s">
        <v>266</v>
      </c>
      <c r="C44" s="1" t="s">
        <v>267</v>
      </c>
      <c r="D44" s="4" t="s">
        <v>268</v>
      </c>
      <c r="E44" s="1" t="s">
        <v>269</v>
      </c>
    </row>
    <row r="45" spans="1:7">
      <c r="A45" s="2">
        <v>56301</v>
      </c>
      <c r="B45" s="1" t="s">
        <v>270</v>
      </c>
      <c r="C45" s="1" t="s">
        <v>271</v>
      </c>
      <c r="D45" s="4" t="s">
        <v>272</v>
      </c>
      <c r="E45" s="1" t="s">
        <v>273</v>
      </c>
    </row>
    <row r="46" spans="1:7">
      <c r="A46" s="2">
        <v>46591</v>
      </c>
      <c r="B46" s="1" t="s">
        <v>274</v>
      </c>
      <c r="C46" s="1" t="s">
        <v>275</v>
      </c>
      <c r="D46" s="4" t="s">
        <v>276</v>
      </c>
      <c r="E46" s="1" t="s">
        <v>277</v>
      </c>
    </row>
    <row r="47" spans="1:7">
      <c r="A47" s="2">
        <v>34187</v>
      </c>
      <c r="B47" s="1" t="s">
        <v>278</v>
      </c>
      <c r="C47" s="1" t="s">
        <v>279</v>
      </c>
      <c r="D47" s="4" t="s">
        <v>280</v>
      </c>
      <c r="E47" s="1" t="s">
        <v>281</v>
      </c>
    </row>
    <row r="48" spans="1:7">
      <c r="A48" s="2">
        <v>97091</v>
      </c>
      <c r="B48" s="1" t="s">
        <v>282</v>
      </c>
      <c r="C48" s="1" t="s">
        <v>283</v>
      </c>
      <c r="D48" s="4" t="s">
        <v>284</v>
      </c>
      <c r="E48" s="1" t="s">
        <v>285</v>
      </c>
    </row>
    <row r="49" spans="1:5">
      <c r="A49" s="2">
        <v>15893</v>
      </c>
      <c r="B49" s="1" t="s">
        <v>286</v>
      </c>
      <c r="C49" s="1" t="s">
        <v>287</v>
      </c>
      <c r="D49" s="4" t="s">
        <v>288</v>
      </c>
      <c r="E49" s="1" t="s">
        <v>289</v>
      </c>
    </row>
    <row r="50" spans="1:5">
      <c r="A50" s="2">
        <v>64846</v>
      </c>
      <c r="B50" s="1" t="s">
        <v>290</v>
      </c>
      <c r="C50" s="1" t="s">
        <v>291</v>
      </c>
      <c r="D50" s="4" t="s">
        <v>292</v>
      </c>
      <c r="E50" s="1" t="s">
        <v>293</v>
      </c>
    </row>
    <row r="51" spans="1:5">
      <c r="A51" s="2">
        <v>39305</v>
      </c>
      <c r="B51" s="1" t="s">
        <v>294</v>
      </c>
      <c r="C51" s="1" t="s">
        <v>295</v>
      </c>
      <c r="D51" s="4" t="s">
        <v>296</v>
      </c>
      <c r="E51" s="1" t="s">
        <v>297</v>
      </c>
    </row>
    <row r="52" spans="1:5">
      <c r="A52" s="2">
        <v>66156</v>
      </c>
      <c r="B52" s="1" t="s">
        <v>298</v>
      </c>
      <c r="C52" s="1" t="s">
        <v>299</v>
      </c>
      <c r="D52" s="4" t="s">
        <v>300</v>
      </c>
      <c r="E52" s="1" t="s">
        <v>301</v>
      </c>
    </row>
    <row r="53" spans="1:5">
      <c r="A53" s="2">
        <v>323</v>
      </c>
      <c r="B53" s="1" t="s">
        <v>302</v>
      </c>
      <c r="C53" s="1" t="s">
        <v>303</v>
      </c>
      <c r="D53" s="4" t="s">
        <v>304</v>
      </c>
      <c r="E53" s="1" t="s">
        <v>305</v>
      </c>
    </row>
    <row r="54" spans="1:5">
      <c r="A54" s="2">
        <v>20841</v>
      </c>
      <c r="B54" s="1" t="s">
        <v>306</v>
      </c>
      <c r="C54" s="1" t="s">
        <v>307</v>
      </c>
      <c r="D54" s="4" t="s">
        <v>308</v>
      </c>
      <c r="E54" s="1" t="s">
        <v>309</v>
      </c>
    </row>
    <row r="55" spans="1:5">
      <c r="A55" s="2">
        <v>52537</v>
      </c>
      <c r="B55" s="1" t="s">
        <v>310</v>
      </c>
      <c r="C55" s="1" t="s">
        <v>311</v>
      </c>
      <c r="D55" s="4" t="s">
        <v>312</v>
      </c>
      <c r="E55" s="1" t="s">
        <v>313</v>
      </c>
    </row>
    <row r="56" spans="1:5">
      <c r="A56" s="2">
        <v>17285</v>
      </c>
      <c r="B56" s="1" t="s">
        <v>314</v>
      </c>
      <c r="C56" s="1" t="s">
        <v>315</v>
      </c>
      <c r="D56" s="4" t="s">
        <v>316</v>
      </c>
      <c r="E56" s="1" t="s">
        <v>317</v>
      </c>
    </row>
    <row r="57" spans="1:5">
      <c r="A57" s="2">
        <v>37612</v>
      </c>
      <c r="B57" s="1" t="s">
        <v>318</v>
      </c>
      <c r="C57" s="1" t="s">
        <v>319</v>
      </c>
      <c r="D57" s="4" t="s">
        <v>320</v>
      </c>
      <c r="E57" s="1" t="s">
        <v>321</v>
      </c>
    </row>
    <row r="58" spans="1:5">
      <c r="A58" s="2">
        <v>51673</v>
      </c>
      <c r="B58" s="1" t="s">
        <v>322</v>
      </c>
      <c r="C58" s="1" t="s">
        <v>323</v>
      </c>
      <c r="D58" s="4" t="s">
        <v>324</v>
      </c>
      <c r="E58" s="1" t="s">
        <v>325</v>
      </c>
    </row>
    <row r="59" spans="1:5">
      <c r="A59" s="2">
        <v>94953</v>
      </c>
      <c r="B59" s="1" t="s">
        <v>326</v>
      </c>
      <c r="C59" s="1" t="s">
        <v>327</v>
      </c>
      <c r="D59" s="4" t="s">
        <v>328</v>
      </c>
      <c r="E59" s="1" t="s">
        <v>329</v>
      </c>
    </row>
    <row r="60" spans="1:5">
      <c r="A60" s="2">
        <v>14010</v>
      </c>
      <c r="B60" s="1" t="s">
        <v>330</v>
      </c>
      <c r="C60" s="1" t="s">
        <v>331</v>
      </c>
      <c r="D60" s="4" t="s">
        <v>332</v>
      </c>
      <c r="E60" s="1" t="s">
        <v>333</v>
      </c>
    </row>
    <row r="61" spans="1:5">
      <c r="A61" s="2">
        <v>56185</v>
      </c>
      <c r="B61" s="1" t="s">
        <v>334</v>
      </c>
      <c r="C61" s="1" t="s">
        <v>335</v>
      </c>
      <c r="D61" s="4" t="s">
        <v>336</v>
      </c>
      <c r="E61" s="1" t="s">
        <v>337</v>
      </c>
    </row>
    <row r="62" spans="1:5">
      <c r="A62" s="2">
        <v>92984</v>
      </c>
      <c r="B62" s="1" t="s">
        <v>338</v>
      </c>
      <c r="C62" s="1" t="s">
        <v>339</v>
      </c>
      <c r="D62" s="4" t="s">
        <v>340</v>
      </c>
      <c r="E62" s="1" t="s">
        <v>341</v>
      </c>
    </row>
    <row r="63" spans="1:5">
      <c r="A63" s="2">
        <v>83865</v>
      </c>
      <c r="B63" s="1" t="s">
        <v>342</v>
      </c>
      <c r="C63" s="1" t="s">
        <v>343</v>
      </c>
      <c r="D63" s="4" t="s">
        <v>344</v>
      </c>
      <c r="E63" s="1" t="s">
        <v>345</v>
      </c>
    </row>
    <row r="64" spans="1:5">
      <c r="A64" s="2">
        <v>14233</v>
      </c>
      <c r="B64" s="1" t="s">
        <v>346</v>
      </c>
      <c r="C64" s="1" t="s">
        <v>347</v>
      </c>
      <c r="D64" s="4" t="s">
        <v>348</v>
      </c>
      <c r="E64" s="1" t="s">
        <v>349</v>
      </c>
    </row>
    <row r="65" spans="1:5">
      <c r="A65" s="2">
        <v>54002</v>
      </c>
      <c r="B65" s="1" t="s">
        <v>350</v>
      </c>
      <c r="C65" s="1" t="s">
        <v>351</v>
      </c>
      <c r="D65" s="4" t="s">
        <v>352</v>
      </c>
      <c r="E65" s="1" t="s">
        <v>353</v>
      </c>
    </row>
    <row r="66" spans="1:5">
      <c r="A66" s="2">
        <v>2818</v>
      </c>
      <c r="B66" s="1" t="s">
        <v>354</v>
      </c>
      <c r="C66" s="1" t="s">
        <v>355</v>
      </c>
      <c r="D66" s="4" t="s">
        <v>356</v>
      </c>
      <c r="E66" s="1" t="s">
        <v>357</v>
      </c>
    </row>
    <row r="67" spans="1:5">
      <c r="A67" s="2">
        <v>55345</v>
      </c>
      <c r="B67" s="1" t="s">
        <v>358</v>
      </c>
      <c r="C67" s="1" t="s">
        <v>359</v>
      </c>
      <c r="D67" s="4" t="s">
        <v>360</v>
      </c>
      <c r="E67" s="1" t="s">
        <v>361</v>
      </c>
    </row>
    <row r="68" spans="1:5">
      <c r="A68" s="2">
        <v>91359</v>
      </c>
      <c r="B68" s="1" t="s">
        <v>362</v>
      </c>
      <c r="C68" s="1" t="s">
        <v>363</v>
      </c>
      <c r="D68" s="4" t="s">
        <v>272</v>
      </c>
      <c r="E68" s="1" t="s">
        <v>364</v>
      </c>
    </row>
    <row r="69" spans="1:5">
      <c r="A69" s="2">
        <v>93769</v>
      </c>
      <c r="B69" s="1" t="s">
        <v>365</v>
      </c>
      <c r="C69" s="1" t="s">
        <v>366</v>
      </c>
      <c r="D69" s="4" t="s">
        <v>367</v>
      </c>
      <c r="E69" s="1" t="s">
        <v>368</v>
      </c>
    </row>
    <row r="70" spans="1:5">
      <c r="A70" s="2">
        <v>88961</v>
      </c>
      <c r="B70" s="1" t="s">
        <v>369</v>
      </c>
      <c r="C70" s="1" t="s">
        <v>370</v>
      </c>
      <c r="D70" s="4" t="s">
        <v>288</v>
      </c>
      <c r="E70" s="1" t="s">
        <v>371</v>
      </c>
    </row>
    <row r="71" spans="1:5">
      <c r="A71" s="2">
        <v>4653</v>
      </c>
      <c r="B71" s="1" t="s">
        <v>372</v>
      </c>
      <c r="C71" s="1" t="s">
        <v>373</v>
      </c>
      <c r="D71" s="4" t="s">
        <v>374</v>
      </c>
      <c r="E71" s="1" t="s">
        <v>375</v>
      </c>
    </row>
    <row r="72" spans="1:5">
      <c r="A72" s="2">
        <v>74591</v>
      </c>
      <c r="B72" s="1" t="s">
        <v>376</v>
      </c>
      <c r="C72" s="1" t="s">
        <v>377</v>
      </c>
      <c r="D72" s="4" t="s">
        <v>304</v>
      </c>
      <c r="E72" s="1" t="s">
        <v>378</v>
      </c>
    </row>
    <row r="73" spans="1:5">
      <c r="A73" s="2">
        <v>84877</v>
      </c>
      <c r="B73" s="1" t="s">
        <v>379</v>
      </c>
      <c r="C73" s="1" t="s">
        <v>380</v>
      </c>
      <c r="D73" s="4" t="s">
        <v>381</v>
      </c>
      <c r="E73" s="1" t="s">
        <v>382</v>
      </c>
    </row>
    <row r="74" spans="1:5">
      <c r="A74" s="2">
        <v>71402</v>
      </c>
      <c r="B74" s="1" t="s">
        <v>383</v>
      </c>
      <c r="C74" s="1" t="s">
        <v>384</v>
      </c>
      <c r="D74" s="4" t="s">
        <v>320</v>
      </c>
      <c r="E74" s="1" t="s">
        <v>385</v>
      </c>
    </row>
    <row r="75" spans="1:5">
      <c r="A75" s="2">
        <v>18123</v>
      </c>
      <c r="B75" s="1" t="s">
        <v>386</v>
      </c>
      <c r="C75" s="1" t="s">
        <v>387</v>
      </c>
      <c r="D75" s="4" t="s">
        <v>388</v>
      </c>
      <c r="E75" s="1" t="s">
        <v>389</v>
      </c>
    </row>
    <row r="76" spans="1:5">
      <c r="A76" s="2">
        <v>16733</v>
      </c>
      <c r="B76" s="1" t="s">
        <v>390</v>
      </c>
      <c r="C76" s="1" t="s">
        <v>391</v>
      </c>
      <c r="D76" s="4" t="s">
        <v>336</v>
      </c>
      <c r="E76" s="1" t="s">
        <v>392</v>
      </c>
    </row>
    <row r="77" spans="1:5">
      <c r="A77" s="2">
        <v>84477</v>
      </c>
      <c r="B77" s="1" t="s">
        <v>393</v>
      </c>
      <c r="C77" s="1" t="s">
        <v>394</v>
      </c>
      <c r="D77" s="4" t="s">
        <v>395</v>
      </c>
      <c r="E77" s="1" t="s">
        <v>396</v>
      </c>
    </row>
    <row r="78" spans="1:5">
      <c r="A78" s="2">
        <v>43456</v>
      </c>
      <c r="B78" s="1" t="s">
        <v>397</v>
      </c>
      <c r="C78" s="1" t="s">
        <v>398</v>
      </c>
      <c r="D78" s="4" t="s">
        <v>352</v>
      </c>
      <c r="E78" s="1" t="s">
        <v>399</v>
      </c>
    </row>
    <row r="79" spans="1:5">
      <c r="A79" s="2">
        <v>4770</v>
      </c>
      <c r="B79" s="1" t="s">
        <v>400</v>
      </c>
      <c r="C79" s="1" t="s">
        <v>401</v>
      </c>
      <c r="D79" s="4" t="s">
        <v>402</v>
      </c>
      <c r="E79" s="1" t="s">
        <v>403</v>
      </c>
    </row>
    <row r="80" spans="1:5">
      <c r="A80" s="2">
        <v>72185</v>
      </c>
      <c r="B80" s="1" t="s">
        <v>404</v>
      </c>
      <c r="C80" s="1" t="s">
        <v>405</v>
      </c>
      <c r="D80" s="4" t="s">
        <v>367</v>
      </c>
      <c r="E80" s="1" t="s">
        <v>406</v>
      </c>
    </row>
    <row r="81" spans="1:5">
      <c r="A81" s="2">
        <v>61785</v>
      </c>
      <c r="B81" s="1" t="s">
        <v>407</v>
      </c>
      <c r="C81" s="1" t="s">
        <v>408</v>
      </c>
      <c r="D81" s="4" t="s">
        <v>409</v>
      </c>
      <c r="E81" s="1" t="s">
        <v>410</v>
      </c>
    </row>
    <row r="82" spans="1:5">
      <c r="A82" s="2">
        <v>22070</v>
      </c>
      <c r="B82" s="1" t="s">
        <v>411</v>
      </c>
      <c r="C82" s="1" t="s">
        <v>412</v>
      </c>
      <c r="D82" s="4" t="s">
        <v>381</v>
      </c>
      <c r="E82" s="1" t="s">
        <v>413</v>
      </c>
    </row>
    <row r="83" spans="1:5">
      <c r="A83" s="2">
        <v>69267</v>
      </c>
      <c r="B83" s="1" t="s">
        <v>414</v>
      </c>
      <c r="C83" s="1" t="s">
        <v>415</v>
      </c>
      <c r="D83" s="4" t="s">
        <v>416</v>
      </c>
      <c r="E83" s="1" t="s">
        <v>417</v>
      </c>
    </row>
    <row r="84" spans="1:5">
      <c r="A84" s="2">
        <v>24491</v>
      </c>
      <c r="B84" s="1" t="s">
        <v>418</v>
      </c>
      <c r="C84" s="1" t="s">
        <v>419</v>
      </c>
      <c r="D84" s="4" t="s">
        <v>420</v>
      </c>
      <c r="E84" s="1" t="s">
        <v>421</v>
      </c>
    </row>
    <row r="85" spans="1:5">
      <c r="A85" s="2">
        <v>24136</v>
      </c>
      <c r="B85" s="1" t="s">
        <v>422</v>
      </c>
      <c r="C85" s="1" t="s">
        <v>423</v>
      </c>
      <c r="D85" s="4" t="s">
        <v>424</v>
      </c>
      <c r="E85" s="1" t="s">
        <v>425</v>
      </c>
    </row>
    <row r="86" spans="1:5">
      <c r="A86" s="2">
        <v>97771</v>
      </c>
      <c r="B86" s="1" t="s">
        <v>426</v>
      </c>
      <c r="C86" s="1" t="s">
        <v>427</v>
      </c>
      <c r="D86" s="4" t="s">
        <v>428</v>
      </c>
      <c r="E86" s="1" t="s">
        <v>429</v>
      </c>
    </row>
    <row r="87" spans="1:5">
      <c r="A87" s="2">
        <v>25240</v>
      </c>
      <c r="B87" s="1" t="s">
        <v>430</v>
      </c>
      <c r="C87" s="1" t="s">
        <v>431</v>
      </c>
      <c r="D87" s="4" t="s">
        <v>432</v>
      </c>
      <c r="E87" s="1" t="s">
        <v>433</v>
      </c>
    </row>
    <row r="88" spans="1:5">
      <c r="A88" s="2">
        <v>76361</v>
      </c>
      <c r="B88" s="1" t="s">
        <v>434</v>
      </c>
      <c r="C88" s="1" t="s">
        <v>435</v>
      </c>
      <c r="D88" s="4" t="s">
        <v>436</v>
      </c>
      <c r="E88" s="1" t="s">
        <v>437</v>
      </c>
    </row>
    <row r="89" spans="1:5">
      <c r="A89" s="2">
        <v>27132</v>
      </c>
      <c r="B89" s="1" t="s">
        <v>438</v>
      </c>
      <c r="C89" s="1" t="s">
        <v>439</v>
      </c>
      <c r="D89" s="4" t="s">
        <v>440</v>
      </c>
      <c r="E89" s="1" t="s">
        <v>441</v>
      </c>
    </row>
    <row r="90" spans="1:5">
      <c r="A90" s="2">
        <v>52728</v>
      </c>
      <c r="B90" s="1" t="s">
        <v>442</v>
      </c>
      <c r="C90" s="1" t="s">
        <v>443</v>
      </c>
      <c r="D90" s="4" t="s">
        <v>444</v>
      </c>
      <c r="E90" s="1" t="s">
        <v>445</v>
      </c>
    </row>
    <row r="91" spans="1:5">
      <c r="A91" s="2">
        <v>75785</v>
      </c>
      <c r="B91" s="1" t="s">
        <v>446</v>
      </c>
      <c r="C91" s="1" t="s">
        <v>447</v>
      </c>
      <c r="D91" s="4" t="s">
        <v>448</v>
      </c>
      <c r="E91" s="1" t="s">
        <v>449</v>
      </c>
    </row>
    <row r="92" spans="1:5">
      <c r="A92" s="2">
        <v>53052</v>
      </c>
      <c r="B92" s="1" t="s">
        <v>450</v>
      </c>
      <c r="C92" s="1" t="s">
        <v>451</v>
      </c>
      <c r="D92" s="4" t="s">
        <v>452</v>
      </c>
      <c r="E92" s="1" t="s">
        <v>453</v>
      </c>
    </row>
    <row r="93" spans="1:5">
      <c r="A93" s="2">
        <v>22600</v>
      </c>
      <c r="B93" s="1" t="s">
        <v>454</v>
      </c>
      <c r="C93" s="1" t="s">
        <v>455</v>
      </c>
      <c r="D93" s="4" t="s">
        <v>456</v>
      </c>
      <c r="E93" s="1" t="s">
        <v>457</v>
      </c>
    </row>
    <row r="94" spans="1:5">
      <c r="A94" s="2">
        <v>57138</v>
      </c>
      <c r="B94" s="1" t="s">
        <v>458</v>
      </c>
      <c r="C94" s="1" t="s">
        <v>459</v>
      </c>
      <c r="D94" s="4" t="s">
        <v>460</v>
      </c>
      <c r="E94" s="1" t="s">
        <v>461</v>
      </c>
    </row>
    <row r="95" spans="1:5">
      <c r="A95" s="2">
        <v>67870</v>
      </c>
      <c r="B95" s="1" t="s">
        <v>462</v>
      </c>
      <c r="C95" s="1" t="s">
        <v>463</v>
      </c>
      <c r="D95" s="4" t="s">
        <v>464</v>
      </c>
      <c r="E95" s="1" t="s">
        <v>465</v>
      </c>
    </row>
    <row r="96" spans="1:5">
      <c r="A96" s="2">
        <v>82402</v>
      </c>
      <c r="B96" s="1" t="s">
        <v>466</v>
      </c>
      <c r="C96" s="1" t="s">
        <v>467</v>
      </c>
      <c r="D96" s="4" t="s">
        <v>468</v>
      </c>
      <c r="E96" s="1" t="s">
        <v>469</v>
      </c>
    </row>
    <row r="97" spans="1:5">
      <c r="A97" s="2">
        <v>8552</v>
      </c>
      <c r="B97" s="1" t="s">
        <v>470</v>
      </c>
      <c r="C97" s="1" t="s">
        <v>471</v>
      </c>
      <c r="D97" s="4" t="s">
        <v>472</v>
      </c>
      <c r="E97" s="1" t="s">
        <v>473</v>
      </c>
    </row>
    <row r="98" spans="1:5">
      <c r="A98" s="2">
        <v>17958</v>
      </c>
      <c r="B98" s="1" t="s">
        <v>474</v>
      </c>
      <c r="C98" s="1" t="s">
        <v>475</v>
      </c>
      <c r="D98" s="4" t="s">
        <v>476</v>
      </c>
      <c r="E98" s="1" t="s">
        <v>477</v>
      </c>
    </row>
    <row r="99" spans="1:5">
      <c r="A99" s="2">
        <v>7472</v>
      </c>
      <c r="B99" s="1" t="s">
        <v>478</v>
      </c>
      <c r="C99" s="1" t="s">
        <v>479</v>
      </c>
      <c r="D99" s="4" t="s">
        <v>480</v>
      </c>
      <c r="E99" s="1" t="s">
        <v>481</v>
      </c>
    </row>
    <row r="100" spans="1:5">
      <c r="A100" s="2">
        <v>5239</v>
      </c>
      <c r="B100" s="1" t="s">
        <v>482</v>
      </c>
      <c r="C100" s="1" t="s">
        <v>483</v>
      </c>
      <c r="D100" s="4" t="s">
        <v>484</v>
      </c>
      <c r="E100" s="1" t="s">
        <v>485</v>
      </c>
    </row>
    <row r="101" spans="1:5">
      <c r="A101" s="2">
        <v>72755</v>
      </c>
      <c r="B101" s="1" t="s">
        <v>486</v>
      </c>
      <c r="C101" s="1" t="s">
        <v>487</v>
      </c>
      <c r="D101" s="4" t="s">
        <v>488</v>
      </c>
      <c r="E101" s="1" t="s">
        <v>489</v>
      </c>
    </row>
    <row r="102" spans="1:5">
      <c r="A102" s="2">
        <v>58836</v>
      </c>
      <c r="B102" s="1" t="s">
        <v>490</v>
      </c>
      <c r="C102" s="1" t="s">
        <v>491</v>
      </c>
      <c r="D102" s="4" t="s">
        <v>492</v>
      </c>
      <c r="E102" s="1" t="s">
        <v>493</v>
      </c>
    </row>
    <row r="103" spans="1:5">
      <c r="A103" s="2">
        <v>13342</v>
      </c>
      <c r="B103" s="1" t="s">
        <v>494</v>
      </c>
      <c r="C103" s="1" t="s">
        <v>495</v>
      </c>
      <c r="D103" s="4" t="s">
        <v>496</v>
      </c>
      <c r="E103" s="1" t="s">
        <v>497</v>
      </c>
    </row>
    <row r="104" spans="1:5">
      <c r="C104" s="41"/>
      <c r="E104" s="42"/>
    </row>
    <row r="105" spans="1:5">
      <c r="C105" s="41"/>
      <c r="E105" s="42"/>
    </row>
    <row r="106" spans="1:5">
      <c r="C106" s="41"/>
      <c r="E106" s="42"/>
    </row>
    <row r="107" spans="1:5">
      <c r="C107" s="41"/>
      <c r="E107" s="42"/>
    </row>
    <row r="108" spans="1:5">
      <c r="C108" s="41"/>
      <c r="E108" s="42"/>
    </row>
    <row r="109" spans="1:5">
      <c r="C109" s="41"/>
      <c r="E109" s="42"/>
    </row>
    <row r="110" spans="1:5">
      <c r="C110" s="41"/>
      <c r="E110" s="42"/>
    </row>
    <row r="111" spans="1:5">
      <c r="C111" s="41"/>
      <c r="E111" s="42"/>
    </row>
    <row r="112" spans="1:5">
      <c r="C112" s="41"/>
      <c r="E112" s="42"/>
    </row>
  </sheetData>
  <hyperlinks>
    <hyperlink ref="D2" r:id="rId1" xr:uid="{F40A3A32-5C3A-48AF-BADC-CD1E289E9719}"/>
    <hyperlink ref="D3" r:id="rId2" xr:uid="{24656413-D764-4B84-8715-158BCB7090A0}"/>
    <hyperlink ref="D4" r:id="rId3" xr:uid="{62915944-ED8D-470B-9EB5-DDA6507F92C1}"/>
    <hyperlink ref="D5" r:id="rId4" xr:uid="{B60AE370-8F3F-4B04-8D3B-77877FB3BF4D}"/>
    <hyperlink ref="D6" r:id="rId5" xr:uid="{216A7A02-8E6E-4C0D-B865-62E28CB944F1}"/>
    <hyperlink ref="D7" r:id="rId6" xr:uid="{220E435F-FE98-46AB-A040-EDE0EC12B512}"/>
    <hyperlink ref="D8" r:id="rId7" xr:uid="{1C0CCF5B-A773-4132-8476-4F4C49FC6704}"/>
    <hyperlink ref="D9" r:id="rId8" xr:uid="{BDD7EB0F-201D-4891-A134-564187BA0011}"/>
    <hyperlink ref="D10" r:id="rId9" xr:uid="{FDE53845-8D24-42B3-B194-9066E1ECA388}"/>
    <hyperlink ref="D11" r:id="rId10" xr:uid="{3F79F53C-1C3A-47EA-AE97-8E7FC2B1A118}"/>
    <hyperlink ref="D12" r:id="rId11" xr:uid="{0BE088A0-1FB8-4588-ACBD-BB11DD86C3AB}"/>
    <hyperlink ref="D13" r:id="rId12" xr:uid="{C72E1078-81D1-4211-BD1C-9F6773760E4F}"/>
    <hyperlink ref="D14" r:id="rId13" xr:uid="{9B021019-F9F3-4E08-8A99-53CB0D5643D9}"/>
    <hyperlink ref="D15" r:id="rId14" xr:uid="{4EEF1CB4-C762-428C-B2B2-8ACEC565E579}"/>
    <hyperlink ref="D16" r:id="rId15" xr:uid="{4827FFFD-D0C8-44C8-852A-55C8A7FDDD11}"/>
    <hyperlink ref="D17" r:id="rId16" xr:uid="{B4A4239E-3DC4-4B08-8A88-74A452EAD1B0}"/>
    <hyperlink ref="D18" r:id="rId17" xr:uid="{3B583302-ABEE-4D5B-AE99-773B7EC87AAE}"/>
    <hyperlink ref="D19" r:id="rId18" xr:uid="{F07ABBBC-35F6-46BB-ACAE-D5141DB4B9AD}"/>
    <hyperlink ref="D20" r:id="rId19" xr:uid="{1F7B00CA-2E3E-4CBE-B534-AA045A6AB035}"/>
    <hyperlink ref="D21" r:id="rId20" xr:uid="{7C0E742C-B683-4D7E-8BF7-0F5172509619}"/>
    <hyperlink ref="D22" r:id="rId21" xr:uid="{282AE014-053E-4D65-8A89-7451687D356E}"/>
    <hyperlink ref="D23" r:id="rId22" xr:uid="{20C41699-B8DC-43C2-86A7-FDD72410D90C}"/>
    <hyperlink ref="D24" r:id="rId23" xr:uid="{0E190A44-0689-4A64-A685-BA0B1FDCB877}"/>
    <hyperlink ref="D25" r:id="rId24" xr:uid="{87DC0D9D-BE59-401D-A87E-04F754EFABAF}"/>
    <hyperlink ref="D26" r:id="rId25" xr:uid="{F8FFF47D-F74C-4DA6-8C3E-0C753192380A}"/>
    <hyperlink ref="D27" r:id="rId26" xr:uid="{23520A4E-E143-447A-8618-DDB4FEE74DD3}"/>
    <hyperlink ref="D28" r:id="rId27" xr:uid="{D7BC0120-07F3-44D0-9456-B646B015D6F1}"/>
    <hyperlink ref="D29" r:id="rId28" xr:uid="{788237D9-D653-4AB9-9DD8-81C5B5526428}"/>
    <hyperlink ref="D30" r:id="rId29" xr:uid="{25D3D26C-DD35-4068-92F6-C780CC2BB10F}"/>
    <hyperlink ref="D31" r:id="rId30" xr:uid="{EB998AE5-E3F3-42D8-811F-1227F9CFAB77}"/>
    <hyperlink ref="D32" r:id="rId31" xr:uid="{F53555BB-3EAF-4A60-9660-458F5833FDDE}"/>
    <hyperlink ref="D33" r:id="rId32" xr:uid="{08FAC821-E2F8-47F0-B93B-45C70844CACF}"/>
    <hyperlink ref="D34" r:id="rId33" xr:uid="{2E270677-6B4D-449E-84F2-59A863C2ED19}"/>
    <hyperlink ref="D35" r:id="rId34" xr:uid="{97F2FBAD-F02D-41D0-BE58-9EF44BF6050D}"/>
    <hyperlink ref="D36" r:id="rId35" xr:uid="{5C0182B6-1439-422E-BA88-F0E2438438BE}"/>
    <hyperlink ref="D37" r:id="rId36" xr:uid="{E3A29E95-7FC4-488C-92EE-7C7A2AAE7AE3}"/>
    <hyperlink ref="D38" r:id="rId37" xr:uid="{49B4F7F2-800C-4984-ACD3-EB281214B993}"/>
    <hyperlink ref="D39" r:id="rId38" xr:uid="{021DC1EA-421E-4BEE-88C6-4514FB3E743A}"/>
    <hyperlink ref="D40" r:id="rId39" xr:uid="{B9BC24D0-CE81-4222-93B1-DC00C00DCAF5}"/>
    <hyperlink ref="D41" r:id="rId40" xr:uid="{7C079324-ABE7-4D1D-8832-8CB0EA162B62}"/>
    <hyperlink ref="D42" r:id="rId41" xr:uid="{1BDBAD7A-ECE1-46A8-A342-250EC975696B}"/>
    <hyperlink ref="D43" r:id="rId42" xr:uid="{C9AFA317-E3C1-49CC-86B9-247E9CC71457}"/>
    <hyperlink ref="D44" r:id="rId43" xr:uid="{907920C9-E462-4B99-BE3E-AA998DB45D23}"/>
    <hyperlink ref="D45" r:id="rId44" xr:uid="{0A1C1D80-034E-4B90-873F-7557B1E1AD72}"/>
    <hyperlink ref="D46" r:id="rId45" xr:uid="{1E1147EB-D6D7-4C16-B2DF-8565EF32802D}"/>
    <hyperlink ref="D47" r:id="rId46" xr:uid="{C00D571A-55C1-4725-B6D7-FF6FA488D18A}"/>
    <hyperlink ref="D48" r:id="rId47" xr:uid="{03673400-E9EB-42AC-8C1A-C576E5D38FC2}"/>
    <hyperlink ref="D49" r:id="rId48" xr:uid="{258AFC94-9254-4C0A-BE5B-626968368C24}"/>
    <hyperlink ref="D50" r:id="rId49" xr:uid="{4F4CE52F-118D-409F-869B-51BABC0C1B31}"/>
    <hyperlink ref="D51" r:id="rId50" xr:uid="{DDFA7B0F-9815-45F7-BBE0-6AAC4565600F}"/>
    <hyperlink ref="D52" r:id="rId51" xr:uid="{D7932E2A-AAC0-489E-9BBE-8D54541456B1}"/>
    <hyperlink ref="D53" r:id="rId52" xr:uid="{9BAC9767-4F01-4B41-BD55-2F199D01AFFA}"/>
    <hyperlink ref="D54" r:id="rId53" xr:uid="{BD51A88E-F0DB-4E39-A056-252D330035BB}"/>
    <hyperlink ref="D55" r:id="rId54" xr:uid="{2726A860-5153-48FF-AD00-30628556CD46}"/>
    <hyperlink ref="D56" r:id="rId55" xr:uid="{B8883EB3-5ADF-4D51-AF7B-F502ED5069D2}"/>
    <hyperlink ref="D57" r:id="rId56" xr:uid="{F58E5B76-F86D-4966-9850-88A339A9FE1D}"/>
    <hyperlink ref="D58" r:id="rId57" xr:uid="{BFD3D00E-4A93-45C1-B9F0-6D8343E48F72}"/>
    <hyperlink ref="D59" r:id="rId58" xr:uid="{90069E4B-A47F-48C8-A423-3557E475F9E4}"/>
    <hyperlink ref="D60" r:id="rId59" xr:uid="{A92AE571-0096-438D-A080-4F52E0A94F9A}"/>
    <hyperlink ref="D61" r:id="rId60" xr:uid="{0D0BF086-7931-4BA9-B00F-8F9627A83747}"/>
    <hyperlink ref="D62" r:id="rId61" xr:uid="{B66011DD-DAEA-4003-A2A9-338F0E1CB4D3}"/>
    <hyperlink ref="D63" r:id="rId62" xr:uid="{44491ACF-7E2F-4FCA-B9E5-A019A8EBED59}"/>
    <hyperlink ref="D65" r:id="rId63" xr:uid="{BC0AA1E4-36A1-4702-9582-D4D725408FCB}"/>
    <hyperlink ref="D66" r:id="rId64" xr:uid="{BD733812-9CBC-43EA-90E5-7560C4D353FA}"/>
    <hyperlink ref="D67" r:id="rId65" xr:uid="{D5DEAF0C-AE1D-4DB9-8256-12EFC94CECAA}"/>
    <hyperlink ref="D68" r:id="rId66" xr:uid="{33E4EC33-64E5-403E-A850-9CD87B66C0B9}"/>
    <hyperlink ref="D69" r:id="rId67" xr:uid="{0881DF90-F68F-4218-AC45-AB1610C4F6BF}"/>
    <hyperlink ref="D70" r:id="rId68" xr:uid="{9F0A8972-588D-4983-827D-70B78BE0994C}"/>
    <hyperlink ref="D71" r:id="rId69" xr:uid="{2D2EA864-2F09-4E00-B53C-1DE13EA4752A}"/>
    <hyperlink ref="D72" r:id="rId70" xr:uid="{68D6FFCB-91AE-4949-9DCD-F4829C6A73EB}"/>
    <hyperlink ref="D73" r:id="rId71" xr:uid="{404E2EAB-A4CD-4D1C-AA2E-2B4E04B7DB83}"/>
    <hyperlink ref="D74" r:id="rId72" xr:uid="{ACB0EACA-37C9-497E-9B2A-D07304784FA6}"/>
    <hyperlink ref="D75" r:id="rId73" xr:uid="{1F3955BC-ABB5-475F-8856-C7164EF2FCF2}"/>
    <hyperlink ref="D76" r:id="rId74" xr:uid="{3F01FA2E-B0C8-4DF6-A98D-D13EA939178F}"/>
    <hyperlink ref="D77" r:id="rId75" xr:uid="{4A04A1B6-4CB6-4CC3-A51C-585AA71C2BD9}"/>
    <hyperlink ref="D78" r:id="rId76" xr:uid="{B992C2EA-13C8-4A12-A95C-6FD5BB6E9137}"/>
    <hyperlink ref="D79" r:id="rId77" xr:uid="{3070F5AC-8F5F-4D26-A617-D6A9A3F06123}"/>
    <hyperlink ref="D80" r:id="rId78" xr:uid="{D5697E8D-9C67-459B-8210-2B3AF3C86C51}"/>
    <hyperlink ref="D81" r:id="rId79" xr:uid="{CD36330F-75BA-401E-AF5F-9BCBDD817ECA}"/>
    <hyperlink ref="D82" r:id="rId80" xr:uid="{058C5F0B-CA90-40BD-A4FC-7EA7382BCEFE}"/>
    <hyperlink ref="D83" r:id="rId81" xr:uid="{4A73B4A8-A47F-4D75-BBB2-59B6A3ADB7E6}"/>
    <hyperlink ref="D84" r:id="rId82" xr:uid="{9EEC33CF-34CF-4B6A-8798-2DED1D56CD48}"/>
    <hyperlink ref="D85" r:id="rId83" xr:uid="{8AF0FDD9-4067-470E-B2B6-778CE9DA46C2}"/>
    <hyperlink ref="D86" r:id="rId84" xr:uid="{BFA5F27E-85D6-407F-9898-FCA911900A73}"/>
    <hyperlink ref="D87" r:id="rId85" xr:uid="{D6209620-EAD3-4A68-92FF-4277B21868D2}"/>
    <hyperlink ref="D88" r:id="rId86" xr:uid="{A4A25667-8CB8-4B6F-BDB1-8236A0F7E2E0}"/>
    <hyperlink ref="D89" r:id="rId87" xr:uid="{D3689E67-38D3-4342-B20E-65AC3C236ADC}"/>
    <hyperlink ref="D90" r:id="rId88" xr:uid="{E8299BD0-7F11-4DE6-B5C7-4685B67CF340}"/>
    <hyperlink ref="D91" r:id="rId89" xr:uid="{FA13374F-10AC-4AA2-B4CA-298405E7B9F4}"/>
    <hyperlink ref="D92" r:id="rId90" xr:uid="{5799DC79-604B-420B-8751-A7365A76F68C}"/>
    <hyperlink ref="D93" r:id="rId91" xr:uid="{A539264C-8E7D-4951-B183-6046755371DF}"/>
    <hyperlink ref="D94" r:id="rId92" xr:uid="{2AC68C9C-2F33-4F2F-B2B5-73C3F17D472D}"/>
    <hyperlink ref="D95" r:id="rId93" xr:uid="{6BAF1D83-6B64-4131-92AB-90C0C2597106}"/>
    <hyperlink ref="D96" r:id="rId94" xr:uid="{AA8CF315-79B1-466B-90DD-B8F305E89EE6}"/>
    <hyperlink ref="D97" r:id="rId95" xr:uid="{5052C025-61A3-4514-BFF8-00DD271A8A93}"/>
    <hyperlink ref="D98" r:id="rId96" xr:uid="{E99E799B-4B5F-4146-A587-65B6C15207D1}"/>
    <hyperlink ref="D99" r:id="rId97" xr:uid="{78F4866C-1FDD-4952-8363-8CDF8D8B4AF0}"/>
    <hyperlink ref="D100" r:id="rId98" xr:uid="{C705D200-1DC7-425B-953C-CC8A7159C878}"/>
    <hyperlink ref="D101" r:id="rId99" xr:uid="{518E4C27-27F4-497D-848A-CE2BB49EAB27}"/>
    <hyperlink ref="D102" r:id="rId100" xr:uid="{19C05174-BDB8-45FE-9FC4-566856C47033}"/>
    <hyperlink ref="D103" r:id="rId101" xr:uid="{FBD6DE41-5099-4EC4-81C7-21B862668E80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103</v>
      </c>
      <c r="B1" s="10" t="s">
        <v>102</v>
      </c>
      <c r="C1" s="11" t="s">
        <v>104</v>
      </c>
    </row>
    <row r="2" spans="1:13" s="26" customFormat="1" ht="18.45">
      <c r="A2" s="27" t="s">
        <v>97</v>
      </c>
      <c r="B2" s="28" t="s">
        <v>66</v>
      </c>
      <c r="C2" s="46" t="s">
        <v>498</v>
      </c>
      <c r="D2" s="46"/>
      <c r="E2" s="46"/>
      <c r="F2" s="46"/>
      <c r="G2" s="46"/>
      <c r="H2" s="46"/>
      <c r="I2" s="46"/>
      <c r="J2" s="46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43" t="s">
        <v>71</v>
      </c>
      <c r="F3" s="43"/>
      <c r="G3" s="43"/>
      <c r="H3" s="43"/>
      <c r="I3" s="43"/>
      <c r="J3" s="24">
        <f>IF(OR(ISBLANK(C37), C26="N/A"), "N/A", C26 + TIME(0, C16 - C23, 0) + TIME(0, E34, 0) + CEILING(C3/(2*C37), 1)*TIME(0, SUM(F34:K34), 0))</f>
        <v>0.62847222222222199</v>
      </c>
    </row>
    <row r="6" spans="1:13">
      <c r="A6" s="9" t="s">
        <v>87</v>
      </c>
      <c r="B6" s="10" t="s">
        <v>67</v>
      </c>
      <c r="C6" s="5" t="s">
        <v>68</v>
      </c>
      <c r="D6" s="44" t="s">
        <v>86</v>
      </c>
      <c r="E6" s="45"/>
      <c r="F6" s="45"/>
      <c r="G6" s="45"/>
      <c r="H6" s="45"/>
      <c r="I6" s="45"/>
      <c r="J6" s="45"/>
      <c r="K6" s="45"/>
      <c r="L6" s="45"/>
      <c r="M6" s="13"/>
    </row>
    <row r="7" spans="1:13">
      <c r="A7" s="9" t="s">
        <v>88</v>
      </c>
      <c r="B7" s="10" t="s">
        <v>78</v>
      </c>
      <c r="C7" s="30">
        <v>12.5</v>
      </c>
      <c r="D7" s="44"/>
      <c r="E7" s="45"/>
      <c r="F7" s="45"/>
      <c r="G7" s="45"/>
      <c r="H7" s="45"/>
      <c r="I7" s="45"/>
      <c r="J7" s="45"/>
      <c r="K7" s="45"/>
      <c r="L7" s="45"/>
      <c r="M7" s="13"/>
    </row>
    <row r="8" spans="1:13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152</v>
      </c>
      <c r="B14" s="10" t="s">
        <v>180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153</v>
      </c>
      <c r="B15" s="10" t="s">
        <v>181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150</v>
      </c>
      <c r="B16" s="10" t="s">
        <v>182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146</v>
      </c>
      <c r="B17" s="14"/>
      <c r="H17" s="36"/>
      <c r="J17" s="36"/>
    </row>
    <row r="18" spans="1:13">
      <c r="A18" s="9" t="s">
        <v>147</v>
      </c>
      <c r="B18" s="14" t="s">
        <v>72</v>
      </c>
      <c r="D18" s="16" t="s">
        <v>69</v>
      </c>
    </row>
    <row r="19" spans="1:13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89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148</v>
      </c>
      <c r="B22" s="10" t="s">
        <v>83</v>
      </c>
      <c r="C22" s="18">
        <f>IF(ISBLANK(C20), "N/A", IF(C21="Yes",1+_xlfn.CEILING.MATH((C3-1)/C20), _xlfn.CEILING.MATH(C3/C20)))</f>
        <v>12</v>
      </c>
      <c r="D22" s="12" t="s">
        <v>84</v>
      </c>
      <c r="E22" s="19"/>
      <c r="F22" s="11"/>
      <c r="J22" s="37"/>
    </row>
    <row r="23" spans="1:13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92</v>
      </c>
      <c r="B24" s="10" t="s">
        <v>79</v>
      </c>
      <c r="C24" s="5">
        <v>4</v>
      </c>
      <c r="D24" s="12">
        <v>3</v>
      </c>
    </row>
    <row r="25" spans="1:13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>
      <c r="A26" s="38">
        <f>MAX(C19:D19) + C22*TIME(0, C23, 0) + TIME(0, C25, 0)*FLOOR((C22 - IF(C21="Yes", 3, 2))/C24, 1)</f>
        <v>0.56180555555555545</v>
      </c>
      <c r="B26" s="10" t="s">
        <v>82</v>
      </c>
      <c r="C26" s="15">
        <f>IF(COUNTBLANK(C15:C25) &gt; 2, "N/A", A26 + IF(A26&gt;C15, TIME(0, MAX(0, C16 - C25), 0), 0))</f>
        <v>0.57569444444444429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98</v>
      </c>
      <c r="B28" s="32" t="s">
        <v>64</v>
      </c>
      <c r="C28" s="33" t="s">
        <v>157</v>
      </c>
      <c r="D28" s="34" t="s">
        <v>158</v>
      </c>
      <c r="E28" s="33" t="s">
        <v>159</v>
      </c>
      <c r="F28" s="33" t="s">
        <v>160</v>
      </c>
      <c r="G28" s="33" t="s">
        <v>499</v>
      </c>
      <c r="H28" s="33" t="s">
        <v>500</v>
      </c>
      <c r="I28" s="33" t="s">
        <v>501</v>
      </c>
      <c r="J28" s="33" t="s">
        <v>502</v>
      </c>
      <c r="K28" s="33" t="s">
        <v>511</v>
      </c>
      <c r="L28" s="34"/>
      <c r="M28" s="34"/>
    </row>
    <row r="29" spans="1:13" s="33" customFormat="1">
      <c r="A29" s="35" t="s">
        <v>99</v>
      </c>
      <c r="B29" s="32" t="s">
        <v>65</v>
      </c>
      <c r="C29" s="33" t="s">
        <v>161</v>
      </c>
      <c r="D29" s="34" t="s">
        <v>162</v>
      </c>
      <c r="E29" s="33" t="s">
        <v>163</v>
      </c>
      <c r="F29" s="33" t="s">
        <v>164</v>
      </c>
      <c r="G29" s="33" t="s">
        <v>503</v>
      </c>
      <c r="H29" s="33" t="s">
        <v>504</v>
      </c>
      <c r="I29" s="33" t="s">
        <v>505</v>
      </c>
      <c r="J29" s="33" t="s">
        <v>506</v>
      </c>
      <c r="K29" s="33" t="s">
        <v>512</v>
      </c>
      <c r="L29" s="34"/>
      <c r="M29" s="34"/>
    </row>
    <row r="30" spans="1:13" s="33" customFormat="1">
      <c r="A30" s="35" t="s">
        <v>100</v>
      </c>
      <c r="B30" s="32" t="s">
        <v>70</v>
      </c>
      <c r="C30" s="33" t="s">
        <v>165</v>
      </c>
      <c r="D30" s="34" t="s">
        <v>166</v>
      </c>
      <c r="E30" s="33" t="s">
        <v>167</v>
      </c>
      <c r="F30" s="33" t="s">
        <v>168</v>
      </c>
      <c r="G30" s="33" t="s">
        <v>507</v>
      </c>
      <c r="H30" s="33" t="s">
        <v>508</v>
      </c>
      <c r="I30" s="33" t="s">
        <v>509</v>
      </c>
      <c r="J30" s="33" t="s">
        <v>510</v>
      </c>
      <c r="K30" s="33" t="s">
        <v>513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95</v>
      </c>
      <c r="B33" s="32" t="s">
        <v>151</v>
      </c>
      <c r="C33" s="33" t="s">
        <v>169</v>
      </c>
      <c r="D33" s="34" t="s">
        <v>170</v>
      </c>
      <c r="E33" s="33" t="s">
        <v>171</v>
      </c>
      <c r="F33" s="33" t="s">
        <v>172</v>
      </c>
      <c r="K33" s="34"/>
      <c r="L33" s="34"/>
      <c r="M33" s="34"/>
    </row>
    <row r="34" spans="1:13" s="7" customFormat="1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94</v>
      </c>
      <c r="B37" s="10" t="s">
        <v>85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154</v>
      </c>
      <c r="B38" s="10" t="s">
        <v>173</v>
      </c>
      <c r="C38" s="31" t="s">
        <v>146</v>
      </c>
    </row>
    <row r="39" spans="1:13">
      <c r="A39" s="9" t="s">
        <v>179</v>
      </c>
      <c r="B39" s="10" t="s">
        <v>178</v>
      </c>
      <c r="C39" s="30">
        <v>8</v>
      </c>
    </row>
    <row r="40" spans="1:13" s="34" customFormat="1">
      <c r="A40" s="35" t="s">
        <v>106</v>
      </c>
      <c r="B40" s="32" t="s">
        <v>105</v>
      </c>
      <c r="C40" s="34" t="s">
        <v>174</v>
      </c>
      <c r="D40" s="34" t="s">
        <v>175</v>
      </c>
      <c r="E40" s="34" t="s">
        <v>176</v>
      </c>
      <c r="F40" s="34" t="s">
        <v>514</v>
      </c>
      <c r="G40" s="34" t="s">
        <v>515</v>
      </c>
      <c r="H40" s="34" t="s">
        <v>516</v>
      </c>
      <c r="I40" s="34" t="s">
        <v>517</v>
      </c>
      <c r="J40" s="34" t="s">
        <v>518</v>
      </c>
    </row>
    <row r="41" spans="1:13" s="34" customFormat="1">
      <c r="A41" s="35" t="s">
        <v>141</v>
      </c>
      <c r="B41" s="32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2019-05-03T16:06:00Z</dcterms:modified>
</cp:coreProperties>
</file>