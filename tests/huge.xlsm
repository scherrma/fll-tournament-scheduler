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ACC262E4-8207-4CF1-92CA-8C75816CB244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<sst xmlns="http://schemas.openxmlformats.org/spreadsheetml/2006/main" count="535" uniqueCount="522">
  <si>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</si>
  <si>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</si>
  <si>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</si>
  <si>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</si>
  <si>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</si>
  <si>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</si>
  <si>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</si>
  <si>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</si>
  <si>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</si>
  <si>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</si>
  <si>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</si>
  <si>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</si>
  <si>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</si>
  <si>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</si>
  <si>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</si>
  <si>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</si>
  <si>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</si>
  <si>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</si>
  <si>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</si>
  <si>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</si>
  <si>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</si>
  <si>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</si>
  <si>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</si>
  <si>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</si>
  <si>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</si>
  <si>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</si>
  <si>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</si>
  <si>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</si>
  <si>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</si>
  <si>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</si>
  <si>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</si>
  <si>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</si>
  <si>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</si>
  <si>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</si>
  <si>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</si>
  <si>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</si>
  <si>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</si>
  <si>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</si>
  <si>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</si>
  <si>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</si>
  <si>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</si>
  <si>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</si>
  <si>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</si>
  <si>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</si>
  <si>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</si>
  <si>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</si>
  <si>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</si>
  <si>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</si>
  <si>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</si>
  <si>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</si>
  <si>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</si>
  <si>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</si>
  <si>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</si>
  <si>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</si>
  <si>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</si>
  <si>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</si>
  <si>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</si>
  <si>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</si>
  <si>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</si>
  <si>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</si>
  <si>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</si>
  <si>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</si>
  <si>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</si>
  <si>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</si>
  <si>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</si>
  <si>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</si>
  <si>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</si>
  <si>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</si>
  <si>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</si>
  <si>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</si>
  <si>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</si>
  <si>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</si>
  <si>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</si>
  <si>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</si>
  <si>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</si>
  <si>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</si>
  <si>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</si>
  <si>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</si>
  <si>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</si>
  <si>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</si>
  <si>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</si>
  <si>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</si>
  <si>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</si>
  <si>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</si>
  <si>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</si>
  <si>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</si>
  <si>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</si>
  <si>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</si>
  <si>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</si>
  <si>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</si>
  <si>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</si>
  <si>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</si>
  <si>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</si>
  <si>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</si>
  <si>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</si>
  <si>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</si>
  <si>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</si>
  <si>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</si>
  <si>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</si>
  <si>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</si>
  <si>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</si>
  <si>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</si>
  <si>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</si>
  <si>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</si>
  <si>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</si>
  <si>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</si>
  <si>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</si>
  <si>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</si>
  <si>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</si>
  <si>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</si>
  <si>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</si>
  <si>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</si>
  <si>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</si>
  <si>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</si>
  <si>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</si>
  <si>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</si>
  <si>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</si>
  <si>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</si>
  <si>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</si>
  <si>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</si>
  <si>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</si>
  <si>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</si>
  <si>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</si>
  <si>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</si>
  <si>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</si>
  <si>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</si>
  <si>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</si>
  <si>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</si>
  <si>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</si>
  <si>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</si>
  <si>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</si>
  <si>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</si>
  <si>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</si>
  <si>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</si>
  <si>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</si>
  <si>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</si>
  <si>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</si>
  <si>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</si>
  <si>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</si>
  <si>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</si>
  <si>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</si>
  <si>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</si>
  <si>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</si>
  <si>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</si>
  <si>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</si>
  <si>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</si>
  <si>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</si>
  <si>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</si>
  <si>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</si>
  <si>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</si>
  <si>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</si>
  <si>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</si>
  <si>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</si>
  <si>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</si>
  <si>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</si>
  <si>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</si>
  <si>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</si>
  <si>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</si>
  <si>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</si>
  <si>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</si>
  <si>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</si>
  <si>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</si>
  <si>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</si>
  <si>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</si>
  <si>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</si>
  <si>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</si>
  <si>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</si>
  <si>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</si>
  <si>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</si>
  <si>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</si>
  <si>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</si>
  <si>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</si>
  <si>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</si>
  <si>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</si>
  <si>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</si>
  <si>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</si>
  <si>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</si>
  <si>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</si>
  <si>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</si>
  <si>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</si>
  <si>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</si>
  <si>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</si>
  <si>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</si>
  <si>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</si>
  <si>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</si>
  <si>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</si>
  <si>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</si>
  <si>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</si>
  <si>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</si>
  <si>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</si>
  <si>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</si>
  <si>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</si>
  <si>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</si>
  <si>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</si>
  <si>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</si>
  <si>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</si>
  <si>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</si>
  <si>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</si>
  <si>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</si>
  <si>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</si>
  <si>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</si>
  <si>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</si>
  <si>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</si>
  <si>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</si>
  <si>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</si>
  <si>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</si>
  <si>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</si>
  <si>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</si>
  <si>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</si>
  <si>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</si>
  <si>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</si>
  <si>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</si>
  <si>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</si>
  <si>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</si>
  <si>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</si>
  <si>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</si>
  <si>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</si>
  <si>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</si>
  <si>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</si>
  <si>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</si>
  <si>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</si>
  <si>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</si>
  <si>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</si>
  <si>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</si>
  <si>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</si>
  <si>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</si>
  <si>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</si>
  <si>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</si>
  <si>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</si>
  <si>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</si>
  <si>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</si>
  <si>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</si>
  <si>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</si>
  <si>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</si>
  <si>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</si>
  <si>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</si>
  <si>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</si>
  <si>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Round 1</t>
  </si>
  <si>
    <t>Table Round Abbrevation (eg, 'Practice Round' -&gt; 'P'; optional)</t>
  </si>
  <si>
    <t>huge</t>
  </si>
  <si>
    <t>Gym</t>
  </si>
  <si>
    <t>Registration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</si>
  <si>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</si>
  <si>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</si>
  <si>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</si>
  <si>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</si>
  <si>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</si>
  <si>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</si>
  <si>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</si>
  <si>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</si>
  <si>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</si>
  <si>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</si>
  <si>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</si>
  <si>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</si>
  <si>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</si>
  <si>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</si>
  <si>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</si>
  <si>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</si>
  <si>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</si>
  <si>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</si>
  <si>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CV 1</t>
  </si>
  <si>
    <t>CV 2</t>
  </si>
  <si>
    <t>CV 3</t>
  </si>
  <si>
    <t>CV 4</t>
  </si>
  <si>
    <t>CV 5</t>
  </si>
  <si>
    <t>CV 6</t>
  </si>
  <si>
    <t>CV 7</t>
  </si>
  <si>
    <t>CV 8</t>
  </si>
  <si>
    <t>CV 9</t>
  </si>
  <si>
    <t>Round 2</t>
  </si>
  <si>
    <t>Round 3</t>
  </si>
  <si>
    <t>Practice 1</t>
  </si>
  <si>
    <t>Practice 2</t>
  </si>
  <si>
    <t>Hubert</t>
  </si>
  <si>
    <t>Louis</t>
  </si>
  <si>
    <t>Dewford</t>
  </si>
  <si>
    <t>Scrooge</t>
  </si>
  <si>
    <t>Donald</t>
  </si>
  <si>
    <t>Webby</t>
  </si>
  <si>
    <t>Beakley</t>
  </si>
  <si>
    <t>Phooey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</si>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</sst>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112"/>
  <sheetViews>
    <sheetView workbookViewId="0">
      <selection activeCell="C10" sqref="C10"/>
    </sheetView>
  </sheetViews>
  <sheetFormatPr defaultColWidth="32.07421875" defaultRowHeight="14.6"/>
  <cols>
    <col min="1" max="1" width="12.69140625" style="1" bestFit="1" customWidth="1"/>
    <col min="2" max="2" width="28.765625" style="1" bestFit="1" customWidth="1"/>
    <col min="3" max="3" width="19.4609375" style="1" bestFit="1" customWidth="1"/>
    <col min="4" max="4" width="28.69140625" style="1" bestFit="1" customWidth="1"/>
    <col min="5" max="5" width="13.4609375" style="1" bestFit="1" customWidth="1"/>
    <col min="6" max="16384" width="32.07421875" style="1"/>
  </cols>
  <sheetData>
    <row r="1" spans="1:14">
      <c r="A1" s="48" t="s">
        <v>0</v>
      </c>
      <c r="B1" s="48" t="s">
        <v>1</v>
      </c>
      <c r="C1" s="48" t="s">
        <v>2</v>
      </c>
      <c r="D1" s="48" t="s">
        <v>106</v>
      </c>
      <c r="E1" s="48" t="s">
        <v>3</v>
      </c>
      <c r="F1" s="45"/>
      <c r="G1" s="45"/>
      <c r="H1" s="45"/>
      <c r="I1" s="45"/>
      <c r="J1" s="45"/>
      <c r="K1" s="45"/>
      <c r="L1" s="45"/>
      <c r="M1" s="48"/>
      <c r="N1" s="2"/>
    </row>
    <row r="2" spans="1:14">
      <c r="A2" s="47">
        <v>16935</v>
      </c>
      <c r="B2" s="46" t="s">
        <v>6</v>
      </c>
      <c r="C2" s="46" t="s">
        <v>23</v>
      </c>
      <c r="D2" s="49" t="s">
        <v>107</v>
      </c>
      <c r="E2" s="46" t="s">
        <v>42</v>
      </c>
      <c r="F2" s="45"/>
      <c r="G2" s="45"/>
      <c r="H2" s="45"/>
      <c r="I2" s="45"/>
      <c r="J2" s="45"/>
      <c r="K2" s="45"/>
      <c r="L2" s="45"/>
      <c r="M2" s="45"/>
    </row>
    <row r="3" spans="1:14">
      <c r="A3" s="47">
        <v>2463</v>
      </c>
      <c r="B3" s="46" t="s">
        <v>7</v>
      </c>
      <c r="C3" s="46" t="s">
        <v>24</v>
      </c>
      <c r="D3" s="49" t="s">
        <v>108</v>
      </c>
      <c r="E3" s="46" t="s">
        <v>43</v>
      </c>
      <c r="F3" s="45"/>
      <c r="G3" s="45"/>
      <c r="H3" s="45"/>
      <c r="I3" s="45"/>
      <c r="J3" s="45"/>
      <c r="K3" s="45"/>
      <c r="L3" s="45"/>
      <c r="M3" s="45"/>
    </row>
    <row r="4" spans="1:14">
      <c r="A4" s="47">
        <v>33754</v>
      </c>
      <c r="B4" s="46" t="s">
        <v>9</v>
      </c>
      <c r="C4" s="46" t="s">
        <v>25</v>
      </c>
      <c r="D4" s="49" t="s">
        <v>109</v>
      </c>
      <c r="E4" s="46" t="s">
        <v>44</v>
      </c>
      <c r="F4" s="45"/>
      <c r="G4" s="45"/>
      <c r="H4" s="45"/>
      <c r="I4" s="45"/>
      <c r="J4" s="45"/>
      <c r="K4" s="45"/>
      <c r="L4" s="45"/>
      <c r="M4" s="45"/>
    </row>
    <row r="5" spans="1:14">
      <c r="A5" s="47">
        <v>20996</v>
      </c>
      <c r="B5" s="46" t="s">
        <v>8</v>
      </c>
      <c r="C5" s="46" t="s">
        <v>26</v>
      </c>
      <c r="D5" s="49" t="s">
        <v>110</v>
      </c>
      <c r="E5" s="46" t="s">
        <v>45</v>
      </c>
      <c r="F5" s="45"/>
      <c r="G5" s="45"/>
      <c r="H5" s="45"/>
      <c r="I5" s="45"/>
      <c r="J5" s="45"/>
      <c r="K5" s="45"/>
      <c r="L5" s="45"/>
      <c r="M5" s="45"/>
    </row>
    <row r="6" spans="1:14">
      <c r="A6" s="47">
        <v>10666</v>
      </c>
      <c r="B6" s="46" t="s">
        <v>10</v>
      </c>
      <c r="C6" s="46" t="s">
        <v>27</v>
      </c>
      <c r="D6" s="49" t="s">
        <v>111</v>
      </c>
      <c r="E6" s="46" t="s">
        <v>46</v>
      </c>
      <c r="F6" s="45"/>
      <c r="G6" s="45"/>
      <c r="H6" s="45"/>
      <c r="I6" s="45"/>
      <c r="J6" s="45"/>
      <c r="K6" s="45"/>
      <c r="L6" s="45"/>
      <c r="M6" s="45"/>
    </row>
    <row r="7" spans="1:14">
      <c r="A7" s="47">
        <v>28868</v>
      </c>
      <c r="B7" s="46" t="s">
        <v>21</v>
      </c>
      <c r="C7" s="46" t="s">
        <v>28</v>
      </c>
      <c r="D7" s="49" t="s">
        <v>112</v>
      </c>
      <c r="E7" s="46" t="s">
        <v>47</v>
      </c>
      <c r="F7" s="45"/>
      <c r="G7" s="45"/>
      <c r="H7" s="45"/>
      <c r="I7" s="45"/>
      <c r="J7" s="45"/>
      <c r="K7" s="45"/>
      <c r="L7" s="45"/>
      <c r="M7" s="45"/>
    </row>
    <row r="8" spans="1:14">
      <c r="A8" s="47">
        <v>24652</v>
      </c>
      <c r="B8" s="46" t="s">
        <v>11</v>
      </c>
      <c r="C8" s="46" t="s">
        <v>29</v>
      </c>
      <c r="D8" s="49" t="s">
        <v>113</v>
      </c>
      <c r="E8" s="46" t="s">
        <v>48</v>
      </c>
      <c r="F8" s="45"/>
      <c r="G8" s="45"/>
      <c r="H8" s="45"/>
      <c r="I8" s="45"/>
      <c r="J8" s="45"/>
      <c r="K8" s="45"/>
      <c r="L8" s="45"/>
      <c r="M8" s="45"/>
    </row>
    <row r="9" spans="1:14">
      <c r="A9" s="47">
        <v>31946</v>
      </c>
      <c r="B9" s="46" t="s">
        <v>12</v>
      </c>
      <c r="C9" s="46" t="s">
        <v>30</v>
      </c>
      <c r="D9" s="49" t="s">
        <v>114</v>
      </c>
      <c r="E9" s="46" t="s">
        <v>49</v>
      </c>
      <c r="F9" s="45"/>
      <c r="G9" s="45"/>
      <c r="H9" s="45"/>
      <c r="I9" s="45"/>
      <c r="J9" s="45"/>
      <c r="K9" s="45"/>
      <c r="L9" s="45"/>
      <c r="M9" s="45"/>
    </row>
    <row r="10" spans="1:14">
      <c r="A10" s="47">
        <v>1542</v>
      </c>
      <c r="B10" s="46" t="s">
        <v>13</v>
      </c>
      <c r="C10" s="46" t="s">
        <v>31</v>
      </c>
      <c r="D10" s="49" t="s">
        <v>115</v>
      </c>
      <c r="E10" s="46" t="s">
        <v>50</v>
      </c>
      <c r="F10" s="45"/>
      <c r="G10" s="45"/>
      <c r="H10" s="45"/>
      <c r="I10" s="45"/>
      <c r="J10" s="45"/>
      <c r="K10" s="45"/>
      <c r="L10" s="45"/>
      <c r="M10" s="45"/>
    </row>
    <row r="11" spans="1:14">
      <c r="A11" s="47">
        <v>49523</v>
      </c>
      <c r="B11" s="46" t="s">
        <v>14</v>
      </c>
      <c r="C11" s="46" t="s">
        <v>32</v>
      </c>
      <c r="D11" s="49" t="s">
        <v>116</v>
      </c>
      <c r="E11" s="46" t="s">
        <v>51</v>
      </c>
      <c r="F11" s="45"/>
      <c r="G11" s="45"/>
      <c r="H11" s="45"/>
      <c r="I11" s="45"/>
      <c r="J11" s="45"/>
      <c r="K11" s="45"/>
      <c r="L11" s="45"/>
      <c r="M11" s="45"/>
    </row>
    <row r="12" spans="1:14">
      <c r="A12" s="47">
        <v>19885</v>
      </c>
      <c r="B12" s="46" t="s">
        <v>15</v>
      </c>
      <c r="C12" s="46" t="s">
        <v>33</v>
      </c>
      <c r="D12" s="49" t="s">
        <v>117</v>
      </c>
      <c r="E12" s="46" t="s">
        <v>52</v>
      </c>
      <c r="F12" s="45"/>
      <c r="G12" s="45"/>
      <c r="H12" s="45"/>
      <c r="I12" s="45"/>
      <c r="J12" s="45"/>
      <c r="K12" s="45"/>
      <c r="L12" s="45"/>
      <c r="M12" s="45"/>
    </row>
    <row r="13" spans="1:14">
      <c r="A13" s="47">
        <v>41793</v>
      </c>
      <c r="B13" s="46" t="s">
        <v>16</v>
      </c>
      <c r="C13" s="46" t="s">
        <v>34</v>
      </c>
      <c r="D13" s="49" t="s">
        <v>118</v>
      </c>
      <c r="E13" s="46" t="s">
        <v>53</v>
      </c>
      <c r="F13" s="45"/>
      <c r="G13" s="45"/>
      <c r="H13" s="45"/>
      <c r="I13" s="45"/>
      <c r="J13" s="45"/>
      <c r="K13" s="45"/>
      <c r="L13" s="45"/>
      <c r="M13" s="45"/>
    </row>
    <row r="14" spans="1:14">
      <c r="A14" s="47">
        <v>42066</v>
      </c>
      <c r="B14" s="46" t="s">
        <v>4</v>
      </c>
      <c r="C14" s="46" t="s">
        <v>35</v>
      </c>
      <c r="D14" s="49" t="s">
        <v>119</v>
      </c>
      <c r="E14" s="46" t="s">
        <v>54</v>
      </c>
      <c r="F14" s="45"/>
      <c r="G14" s="45"/>
      <c r="H14" s="45"/>
      <c r="I14" s="45"/>
      <c r="J14" s="45"/>
      <c r="K14" s="45"/>
      <c r="L14" s="45"/>
      <c r="M14" s="45"/>
    </row>
    <row r="15" spans="1:14">
      <c r="A15" s="47">
        <v>2932</v>
      </c>
      <c r="B15" s="46" t="s">
        <v>17</v>
      </c>
      <c r="C15" s="46" t="s">
        <v>36</v>
      </c>
      <c r="D15" s="49" t="s">
        <v>120</v>
      </c>
      <c r="E15" s="46" t="s">
        <v>55</v>
      </c>
      <c r="F15" s="45"/>
      <c r="G15" s="45"/>
      <c r="H15" s="45"/>
      <c r="I15" s="45"/>
      <c r="J15" s="45"/>
      <c r="K15" s="45"/>
      <c r="L15" s="45"/>
      <c r="M15" s="45"/>
    </row>
    <row r="16" spans="1:14">
      <c r="A16" s="47">
        <v>505</v>
      </c>
      <c r="B16" s="46" t="s">
        <v>22</v>
      </c>
      <c r="C16" s="46" t="s">
        <v>37</v>
      </c>
      <c r="D16" s="49" t="s">
        <v>121</v>
      </c>
      <c r="E16" s="46" t="s">
        <v>56</v>
      </c>
      <c r="F16" s="45"/>
      <c r="G16" s="45"/>
      <c r="H16" s="45"/>
      <c r="I16" s="45"/>
      <c r="J16" s="45"/>
      <c r="K16" s="45"/>
      <c r="L16" s="45"/>
      <c r="M16" s="45"/>
    </row>
    <row r="17" spans="1:11">
      <c r="A17" s="47">
        <v>3036</v>
      </c>
      <c r="B17" s="46" t="s">
        <v>20</v>
      </c>
      <c r="C17" s="46" t="s">
        <v>38</v>
      </c>
      <c r="D17" s="49" t="s">
        <v>122</v>
      </c>
      <c r="E17" s="46" t="s">
        <v>57</v>
      </c>
      <c r="F17" s="45"/>
      <c r="G17" s="45"/>
      <c r="H17" s="45"/>
      <c r="I17" s="45"/>
      <c r="J17" s="45"/>
    </row>
    <row r="18" spans="1:11">
      <c r="A18" s="47">
        <v>46007</v>
      </c>
      <c r="B18" s="46" t="s">
        <v>5</v>
      </c>
      <c r="C18" s="46" t="s">
        <v>39</v>
      </c>
      <c r="D18" s="49" t="s">
        <v>123</v>
      </c>
      <c r="E18" s="46" t="s">
        <v>58</v>
      </c>
      <c r="F18" s="45"/>
      <c r="G18" s="45"/>
      <c r="H18" s="45"/>
      <c r="I18" s="45"/>
      <c r="J18" s="45"/>
    </row>
    <row r="19" spans="1:11">
      <c r="A19" s="47">
        <v>23932</v>
      </c>
      <c r="B19" s="46" t="s">
        <v>19</v>
      </c>
      <c r="C19" s="46" t="s">
        <v>40</v>
      </c>
      <c r="D19" s="49" t="s">
        <v>124</v>
      </c>
      <c r="E19" s="46" t="s">
        <v>59</v>
      </c>
      <c r="F19" s="45"/>
      <c r="G19" s="45"/>
      <c r="H19" s="45"/>
      <c r="I19" s="45"/>
      <c r="J19" s="45"/>
    </row>
    <row r="20" spans="1:11" customFormat="1">
      <c r="A20" s="47">
        <v>38561</v>
      </c>
      <c r="B20" s="47" t="s">
        <v>61</v>
      </c>
      <c r="C20" s="47" t="s">
        <v>62</v>
      </c>
      <c r="D20" s="49" t="s">
        <v>125</v>
      </c>
      <c r="E20" s="47" t="s">
        <v>63</v>
      </c>
      <c r="F20" s="45"/>
      <c r="G20" s="47"/>
      <c r="H20" s="47"/>
      <c r="I20" s="47"/>
      <c r="J20" s="47"/>
      <c r="K20" s="1"/>
    </row>
    <row r="21" spans="1:11">
      <c r="A21" s="47">
        <v>31303</v>
      </c>
      <c r="B21" s="46" t="s">
        <v>18</v>
      </c>
      <c r="C21" s="46" t="s">
        <v>41</v>
      </c>
      <c r="D21" s="49" t="s">
        <v>126</v>
      </c>
      <c r="E21" s="46" t="s">
        <v>60</v>
      </c>
      <c r="F21" s="45"/>
      <c r="G21" s="45"/>
      <c r="H21" s="45"/>
      <c r="I21" s="45"/>
      <c r="J21" s="45"/>
    </row>
    <row r="22" spans="1:11">
      <c r="A22" s="47">
        <v>15289</v>
      </c>
      <c r="B22" s="47" t="s">
        <v>141</v>
      </c>
      <c r="C22" s="47" t="s">
        <v>142</v>
      </c>
      <c r="D22" s="49" t="s">
        <v>143</v>
      </c>
      <c r="E22" s="47" t="s">
        <v>144</v>
      </c>
      <c r="F22" s="45"/>
      <c r="G22" s="45"/>
      <c r="H22" s="45"/>
      <c r="I22" s="45"/>
      <c r="J22" s="45"/>
    </row>
    <row r="23" spans="1:11">
      <c r="A23" s="47">
        <v>26167</v>
      </c>
      <c r="B23" s="47" t="s">
        <v>145</v>
      </c>
      <c r="C23" s="47" t="s">
        <v>146</v>
      </c>
      <c r="D23" s="49" t="s">
        <v>147</v>
      </c>
      <c r="E23" s="47" t="s">
        <v>148</v>
      </c>
      <c r="F23" s="45"/>
      <c r="G23" s="45"/>
      <c r="H23" s="45"/>
      <c r="I23" s="45"/>
      <c r="J23" s="45"/>
    </row>
    <row r="24" spans="1:11">
      <c r="A24" s="47">
        <v>3539</v>
      </c>
      <c r="B24" s="47" t="s">
        <v>149</v>
      </c>
      <c r="C24" s="47" t="s">
        <v>150</v>
      </c>
      <c r="D24" s="49" t="s">
        <v>151</v>
      </c>
      <c r="E24" s="47" t="s">
        <v>152</v>
      </c>
      <c r="F24" s="45"/>
      <c r="G24" s="45"/>
      <c r="H24" s="45"/>
      <c r="I24" s="45"/>
      <c r="J24" s="45"/>
    </row>
    <row r="25" spans="1:11">
      <c r="A25" s="47">
        <v>42650</v>
      </c>
      <c r="B25" s="47" t="s">
        <v>153</v>
      </c>
      <c r="C25" s="47" t="s">
        <v>154</v>
      </c>
      <c r="D25" s="49" t="s">
        <v>155</v>
      </c>
      <c r="E25" s="47" t="s">
        <v>156</v>
      </c>
      <c r="F25" s="45"/>
      <c r="G25" s="45"/>
      <c r="H25" s="45"/>
      <c r="I25" s="45"/>
      <c r="J25" s="45"/>
    </row>
    <row r="26" spans="1:11">
      <c r="A26" s="47">
        <v>1313</v>
      </c>
      <c r="B26" s="47" t="s">
        <v>157</v>
      </c>
      <c r="C26" s="47" t="s">
        <v>158</v>
      </c>
      <c r="D26" s="49" t="s">
        <v>159</v>
      </c>
      <c r="E26" s="47" t="s">
        <v>152</v>
      </c>
      <c r="F26" s="45"/>
      <c r="G26" s="45"/>
      <c r="H26" s="45"/>
      <c r="I26" s="45"/>
      <c r="J26" s="45"/>
    </row>
    <row r="27" spans="1:11">
      <c r="A27" s="47">
        <v>25167</v>
      </c>
      <c r="B27" s="47" t="s">
        <v>160</v>
      </c>
      <c r="C27" s="47" t="s">
        <v>161</v>
      </c>
      <c r="D27" s="49" t="s">
        <v>162</v>
      </c>
      <c r="E27" s="47" t="s">
        <v>163</v>
      </c>
      <c r="F27" s="45"/>
      <c r="G27" s="45"/>
      <c r="H27" s="45"/>
      <c r="I27" s="45"/>
      <c r="J27" s="45"/>
    </row>
    <row r="28" spans="1:11">
      <c r="A28" s="47">
        <v>11795</v>
      </c>
      <c r="B28" s="47" t="s">
        <v>164</v>
      </c>
      <c r="C28" s="47" t="s">
        <v>165</v>
      </c>
      <c r="D28" s="49" t="s">
        <v>166</v>
      </c>
      <c r="E28" s="47" t="s">
        <v>167</v>
      </c>
      <c r="F28" s="45"/>
      <c r="G28" s="45"/>
      <c r="H28" s="45"/>
      <c r="I28" s="45"/>
      <c r="J28" s="45"/>
    </row>
    <row r="29" spans="1:11">
      <c r="A29" s="47">
        <v>45977</v>
      </c>
      <c r="B29" s="47" t="s">
        <v>168</v>
      </c>
      <c r="C29" s="47" t="s">
        <v>169</v>
      </c>
      <c r="D29" s="49" t="s">
        <v>170</v>
      </c>
      <c r="E29" s="47" t="s">
        <v>171</v>
      </c>
      <c r="F29" s="45"/>
      <c r="G29" s="45"/>
      <c r="H29" s="45"/>
      <c r="I29" s="45"/>
      <c r="J29" s="45"/>
    </row>
    <row r="30" spans="1:11">
      <c r="A30" s="47">
        <v>45822</v>
      </c>
      <c r="B30" s="47" t="s">
        <v>172</v>
      </c>
      <c r="C30" s="47" t="s">
        <v>173</v>
      </c>
      <c r="D30" s="49" t="s">
        <v>174</v>
      </c>
      <c r="E30" s="47" t="s">
        <v>175</v>
      </c>
      <c r="F30" s="45"/>
      <c r="G30" s="45"/>
      <c r="H30" s="45"/>
      <c r="I30" s="45"/>
      <c r="J30" s="45"/>
    </row>
    <row r="31" spans="1:11">
      <c r="A31" s="47">
        <v>24199</v>
      </c>
      <c r="B31" s="47" t="s">
        <v>176</v>
      </c>
      <c r="C31" s="47" t="s">
        <v>177</v>
      </c>
      <c r="D31" s="49" t="s">
        <v>178</v>
      </c>
      <c r="E31" s="47" t="s">
        <v>179</v>
      </c>
      <c r="F31" s="45"/>
      <c r="G31" s="45"/>
      <c r="H31" s="45"/>
      <c r="I31" s="45"/>
      <c r="J31" s="45"/>
    </row>
    <row r="32" spans="1:11">
      <c r="A32" s="47">
        <v>32148</v>
      </c>
      <c r="B32" s="47" t="s">
        <v>180</v>
      </c>
      <c r="C32" s="47" t="s">
        <v>181</v>
      </c>
      <c r="D32" s="49" t="s">
        <v>182</v>
      </c>
      <c r="E32" s="47" t="s">
        <v>183</v>
      </c>
      <c r="F32" s="45"/>
      <c r="G32" s="45"/>
      <c r="H32" s="45"/>
      <c r="I32" s="45"/>
      <c r="J32" s="45"/>
    </row>
    <row r="33" spans="1:8">
      <c r="A33" s="47">
        <v>18274</v>
      </c>
      <c r="B33" s="47" t="s">
        <v>184</v>
      </c>
      <c r="C33" s="47" t="s">
        <v>185</v>
      </c>
      <c r="D33" s="49" t="s">
        <v>186</v>
      </c>
      <c r="E33" s="47" t="s">
        <v>187</v>
      </c>
      <c r="F33" s="45"/>
      <c r="G33" s="45"/>
      <c r="H33"/>
    </row>
    <row r="34" spans="1:8">
      <c r="A34" s="47">
        <v>27828</v>
      </c>
      <c r="B34" s="47" t="s">
        <v>188</v>
      </c>
      <c r="C34" s="47" t="s">
        <v>189</v>
      </c>
      <c r="D34" s="49" t="s">
        <v>190</v>
      </c>
      <c r="E34" s="47" t="s">
        <v>191</v>
      </c>
      <c r="F34" s="45"/>
      <c r="G34" s="45"/>
      <c r="H34"/>
    </row>
    <row r="35" spans="1:8">
      <c r="A35" s="47">
        <v>8778</v>
      </c>
      <c r="B35" s="47" t="s">
        <v>192</v>
      </c>
      <c r="C35" s="47" t="s">
        <v>193</v>
      </c>
      <c r="D35" s="49" t="s">
        <v>194</v>
      </c>
      <c r="E35" s="47" t="s">
        <v>195</v>
      </c>
      <c r="F35" s="45"/>
      <c r="G35" s="45"/>
      <c r="H35"/>
    </row>
    <row r="36" spans="1:8">
      <c r="A36" s="47">
        <v>46561</v>
      </c>
      <c r="B36" s="47" t="s">
        <v>196</v>
      </c>
      <c r="C36" s="47" t="s">
        <v>197</v>
      </c>
      <c r="D36" s="49" t="s">
        <v>198</v>
      </c>
      <c r="E36" s="47" t="s">
        <v>199</v>
      </c>
      <c r="F36" s="45"/>
      <c r="G36" s="45"/>
      <c r="H36"/>
    </row>
    <row r="37" spans="1:8">
      <c r="A37" s="47">
        <v>24436</v>
      </c>
      <c r="B37" s="47" t="s">
        <v>200</v>
      </c>
      <c r="C37" s="47" t="s">
        <v>201</v>
      </c>
      <c r="D37" s="49" t="s">
        <v>202</v>
      </c>
      <c r="E37" s="47" t="s">
        <v>203</v>
      </c>
      <c r="F37" s="45"/>
      <c r="G37" s="45"/>
      <c r="H37"/>
    </row>
    <row r="38" spans="1:8">
      <c r="A38" s="47">
        <v>48988</v>
      </c>
      <c r="B38" s="50" t="s">
        <v>204</v>
      </c>
      <c r="C38" s="47" t="s">
        <v>205</v>
      </c>
      <c r="D38" s="49" t="s">
        <v>206</v>
      </c>
      <c r="E38" s="47" t="s">
        <v>207</v>
      </c>
      <c r="F38" s="45"/>
      <c r="G38" s="45"/>
      <c r="H38"/>
    </row>
    <row r="39" spans="1:8">
      <c r="A39" s="47">
        <v>41349</v>
      </c>
      <c r="B39" s="50" t="s">
        <v>208</v>
      </c>
      <c r="C39" s="47" t="s">
        <v>209</v>
      </c>
      <c r="D39" s="49" t="s">
        <v>210</v>
      </c>
      <c r="E39" s="47" t="s">
        <v>211</v>
      </c>
      <c r="F39" s="45"/>
      <c r="G39" s="45"/>
      <c r="H39"/>
    </row>
    <row r="40" spans="1:8">
      <c r="A40" s="47">
        <v>9392</v>
      </c>
      <c r="B40" s="51" t="s">
        <v>212</v>
      </c>
      <c r="C40" s="47" t="s">
        <v>213</v>
      </c>
      <c r="D40" s="49" t="s">
        <v>214</v>
      </c>
      <c r="E40" s="47" t="s">
        <v>215</v>
      </c>
      <c r="F40" s="45"/>
      <c r="G40" s="45"/>
      <c r="H40"/>
    </row>
    <row r="41" spans="1:8">
      <c r="A41" s="47">
        <v>48867</v>
      </c>
      <c r="B41" s="51" t="s">
        <v>216</v>
      </c>
      <c r="C41" s="47" t="s">
        <v>217</v>
      </c>
      <c r="D41" s="49" t="s">
        <v>218</v>
      </c>
      <c r="E41" s="47" t="s">
        <v>219</v>
      </c>
      <c r="F41" s="45"/>
      <c r="G41" s="45"/>
      <c r="H41"/>
    </row>
    <row r="42" spans="1:8">
      <c r="A42" s="47">
        <v>41348</v>
      </c>
      <c r="B42" s="46" t="s">
        <v>281</v>
      </c>
      <c r="C42" s="46" t="s">
        <v>282</v>
      </c>
      <c r="D42" s="49" t="s">
        <v>283</v>
      </c>
      <c r="E42" s="46" t="s">
        <v>284</v>
      </c>
      <c r="F42" s="45"/>
      <c r="G42" s="45"/>
    </row>
    <row r="43" spans="1:8">
      <c r="A43" s="47">
        <v>86535</v>
      </c>
      <c r="B43" s="46" t="s">
        <v>285</v>
      </c>
      <c r="C43" s="46" t="s">
        <v>286</v>
      </c>
      <c r="D43" s="49" t="s">
        <v>287</v>
      </c>
      <c r="E43" s="46" t="s">
        <v>288</v>
      </c>
      <c r="F43" s="45"/>
      <c r="G43" s="45"/>
    </row>
    <row r="44" spans="1:8">
      <c r="A44" s="47">
        <v>79682</v>
      </c>
      <c r="B44" s="46" t="s">
        <v>289</v>
      </c>
      <c r="C44" s="46" t="s">
        <v>290</v>
      </c>
      <c r="D44" s="49" t="s">
        <v>291</v>
      </c>
      <c r="E44" s="46" t="s">
        <v>292</v>
      </c>
      <c r="F44" s="45"/>
      <c r="G44" s="45"/>
    </row>
    <row r="45" spans="1:8">
      <c r="A45" s="47">
        <v>56301</v>
      </c>
      <c r="B45" s="46" t="s">
        <v>293</v>
      </c>
      <c r="C45" s="46" t="s">
        <v>294</v>
      </c>
      <c r="D45" s="49" t="s">
        <v>295</v>
      </c>
      <c r="E45" s="46" t="s">
        <v>296</v>
      </c>
      <c r="F45" s="45"/>
      <c r="G45" s="45"/>
    </row>
    <row r="46" spans="1:8">
      <c r="A46" s="47">
        <v>46591</v>
      </c>
      <c r="B46" s="46" t="s">
        <v>297</v>
      </c>
      <c r="C46" s="46" t="s">
        <v>298</v>
      </c>
      <c r="D46" s="49" t="s">
        <v>299</v>
      </c>
      <c r="E46" s="46" t="s">
        <v>300</v>
      </c>
      <c r="F46" s="45"/>
      <c r="G46" s="45"/>
    </row>
    <row r="47" spans="1:8">
      <c r="A47" s="47">
        <v>34187</v>
      </c>
      <c r="B47" s="46" t="s">
        <v>301</v>
      </c>
      <c r="C47" s="46" t="s">
        <v>302</v>
      </c>
      <c r="D47" s="49" t="s">
        <v>303</v>
      </c>
      <c r="E47" s="46" t="s">
        <v>304</v>
      </c>
      <c r="F47" s="45"/>
      <c r="G47" s="45"/>
    </row>
    <row r="48" spans="1:8">
      <c r="A48" s="47">
        <v>97091</v>
      </c>
      <c r="B48" s="46" t="s">
        <v>305</v>
      </c>
      <c r="C48" s="46" t="s">
        <v>306</v>
      </c>
      <c r="D48" s="49" t="s">
        <v>307</v>
      </c>
      <c r="E48" s="46" t="s">
        <v>308</v>
      </c>
      <c r="F48" s="45"/>
      <c r="G48" s="45"/>
    </row>
    <row r="49" spans="1:5">
      <c r="A49" s="47">
        <v>15893</v>
      </c>
      <c r="B49" s="46" t="s">
        <v>309</v>
      </c>
      <c r="C49" s="46" t="s">
        <v>310</v>
      </c>
      <c r="D49" s="49" t="s">
        <v>311</v>
      </c>
      <c r="E49" s="46" t="s">
        <v>312</v>
      </c>
    </row>
    <row r="50" spans="1:5">
      <c r="A50" s="47">
        <v>64846</v>
      </c>
      <c r="B50" s="46" t="s">
        <v>313</v>
      </c>
      <c r="C50" s="46" t="s">
        <v>314</v>
      </c>
      <c r="D50" s="49" t="s">
        <v>315</v>
      </c>
      <c r="E50" s="46" t="s">
        <v>316</v>
      </c>
    </row>
    <row r="51" spans="1:5">
      <c r="A51" s="47">
        <v>39305</v>
      </c>
      <c r="B51" s="46" t="s">
        <v>317</v>
      </c>
      <c r="C51" s="46" t="s">
        <v>318</v>
      </c>
      <c r="D51" s="49" t="s">
        <v>319</v>
      </c>
      <c r="E51" s="46" t="s">
        <v>320</v>
      </c>
    </row>
    <row r="52" spans="1:5">
      <c r="A52" s="47">
        <v>66156</v>
      </c>
      <c r="B52" s="46" t="s">
        <v>321</v>
      </c>
      <c r="C52" s="46" t="s">
        <v>322</v>
      </c>
      <c r="D52" s="49" t="s">
        <v>323</v>
      </c>
      <c r="E52" s="46" t="s">
        <v>324</v>
      </c>
    </row>
    <row r="53" spans="1:5">
      <c r="A53" s="47">
        <v>323</v>
      </c>
      <c r="B53" s="46" t="s">
        <v>325</v>
      </c>
      <c r="C53" s="46" t="s">
        <v>326</v>
      </c>
      <c r="D53" s="49" t="s">
        <v>327</v>
      </c>
      <c r="E53" s="46" t="s">
        <v>328</v>
      </c>
    </row>
    <row r="54" spans="1:5">
      <c r="A54" s="47">
        <v>20841</v>
      </c>
      <c r="B54" s="46" t="s">
        <v>329</v>
      </c>
      <c r="C54" s="46" t="s">
        <v>330</v>
      </c>
      <c r="D54" s="49" t="s">
        <v>331</v>
      </c>
      <c r="E54" s="46" t="s">
        <v>332</v>
      </c>
    </row>
    <row r="55" spans="1:5">
      <c r="A55" s="47">
        <v>52537</v>
      </c>
      <c r="B55" s="46" t="s">
        <v>333</v>
      </c>
      <c r="C55" s="46" t="s">
        <v>334</v>
      </c>
      <c r="D55" s="49" t="s">
        <v>335</v>
      </c>
      <c r="E55" s="46" t="s">
        <v>336</v>
      </c>
    </row>
    <row r="56" spans="1:5">
      <c r="A56" s="47">
        <v>17285</v>
      </c>
      <c r="B56" s="46" t="s">
        <v>337</v>
      </c>
      <c r="C56" s="46" t="s">
        <v>338</v>
      </c>
      <c r="D56" s="49" t="s">
        <v>339</v>
      </c>
      <c r="E56" s="46" t="s">
        <v>340</v>
      </c>
    </row>
    <row r="57" spans="1:5">
      <c r="A57" s="47">
        <v>37612</v>
      </c>
      <c r="B57" s="46" t="s">
        <v>341</v>
      </c>
      <c r="C57" s="46" t="s">
        <v>342</v>
      </c>
      <c r="D57" s="49" t="s">
        <v>343</v>
      </c>
      <c r="E57" s="46" t="s">
        <v>344</v>
      </c>
    </row>
    <row r="58" spans="1:5">
      <c r="A58" s="47">
        <v>51673</v>
      </c>
      <c r="B58" s="46" t="s">
        <v>345</v>
      </c>
      <c r="C58" s="46" t="s">
        <v>346</v>
      </c>
      <c r="D58" s="49" t="s">
        <v>347</v>
      </c>
      <c r="E58" s="46" t="s">
        <v>348</v>
      </c>
    </row>
    <row r="59" spans="1:5">
      <c r="A59" s="47">
        <v>94953</v>
      </c>
      <c r="B59" s="46" t="s">
        <v>349</v>
      </c>
      <c r="C59" s="46" t="s">
        <v>350</v>
      </c>
      <c r="D59" s="49" t="s">
        <v>351</v>
      </c>
      <c r="E59" s="46" t="s">
        <v>352</v>
      </c>
    </row>
    <row r="60" spans="1:5">
      <c r="A60" s="47">
        <v>14010</v>
      </c>
      <c r="B60" s="46" t="s">
        <v>353</v>
      </c>
      <c r="C60" s="46" t="s">
        <v>354</v>
      </c>
      <c r="D60" s="49" t="s">
        <v>355</v>
      </c>
      <c r="E60" s="46" t="s">
        <v>356</v>
      </c>
    </row>
    <row r="61" spans="1:5">
      <c r="A61" s="47">
        <v>56185</v>
      </c>
      <c r="B61" s="46" t="s">
        <v>357</v>
      </c>
      <c r="C61" s="46" t="s">
        <v>358</v>
      </c>
      <c r="D61" s="49" t="s">
        <v>359</v>
      </c>
      <c r="E61" s="46" t="s">
        <v>360</v>
      </c>
    </row>
    <row r="62" spans="1:5">
      <c r="A62" s="47">
        <v>92984</v>
      </c>
      <c r="B62" s="46" t="s">
        <v>361</v>
      </c>
      <c r="C62" s="46" t="s">
        <v>362</v>
      </c>
      <c r="D62" s="49" t="s">
        <v>363</v>
      </c>
      <c r="E62" s="46" t="s">
        <v>364</v>
      </c>
    </row>
    <row r="63" spans="1:5">
      <c r="A63" s="47">
        <v>83865</v>
      </c>
      <c r="B63" s="46" t="s">
        <v>365</v>
      </c>
      <c r="C63" s="46" t="s">
        <v>366</v>
      </c>
      <c r="D63" s="49" t="s">
        <v>367</v>
      </c>
      <c r="E63" s="46" t="s">
        <v>368</v>
      </c>
    </row>
    <row r="64" spans="1:5">
      <c r="A64" s="47">
        <v>14233</v>
      </c>
      <c r="B64" s="46" t="s">
        <v>369</v>
      </c>
      <c r="C64" s="46" t="s">
        <v>370</v>
      </c>
      <c r="D64" s="49" t="s">
        <v>371</v>
      </c>
      <c r="E64" s="46" t="s">
        <v>372</v>
      </c>
    </row>
    <row r="65" spans="1:5">
      <c r="A65" s="47">
        <v>54002</v>
      </c>
      <c r="B65" s="46" t="s">
        <v>373</v>
      </c>
      <c r="C65" s="46" t="s">
        <v>374</v>
      </c>
      <c r="D65" s="49" t="s">
        <v>375</v>
      </c>
      <c r="E65" s="46" t="s">
        <v>376</v>
      </c>
    </row>
    <row r="66" spans="1:5">
      <c r="A66" s="47">
        <v>2818</v>
      </c>
      <c r="B66" s="46" t="s">
        <v>377</v>
      </c>
      <c r="C66" s="46" t="s">
        <v>378</v>
      </c>
      <c r="D66" s="49" t="s">
        <v>379</v>
      </c>
      <c r="E66" s="46" t="s">
        <v>380</v>
      </c>
    </row>
    <row r="67" spans="1:5">
      <c r="A67" s="47">
        <v>55345</v>
      </c>
      <c r="B67" s="46" t="s">
        <v>381</v>
      </c>
      <c r="C67" s="46" t="s">
        <v>382</v>
      </c>
      <c r="D67" s="49" t="s">
        <v>383</v>
      </c>
      <c r="E67" s="46" t="s">
        <v>384</v>
      </c>
    </row>
    <row r="68" spans="1:5">
      <c r="A68" s="47">
        <v>91359</v>
      </c>
      <c r="B68" s="46" t="s">
        <v>385</v>
      </c>
      <c r="C68" s="46" t="s">
        <v>386</v>
      </c>
      <c r="D68" s="49" t="s">
        <v>295</v>
      </c>
      <c r="E68" s="46" t="s">
        <v>387</v>
      </c>
    </row>
    <row r="69" spans="1:5">
      <c r="A69" s="47">
        <v>93769</v>
      </c>
      <c r="B69" s="46" t="s">
        <v>388</v>
      </c>
      <c r="C69" s="46" t="s">
        <v>389</v>
      </c>
      <c r="D69" s="49" t="s">
        <v>390</v>
      </c>
      <c r="E69" s="46" t="s">
        <v>391</v>
      </c>
    </row>
    <row r="70" spans="1:5">
      <c r="A70" s="47">
        <v>88961</v>
      </c>
      <c r="B70" s="46" t="s">
        <v>392</v>
      </c>
      <c r="C70" s="46" t="s">
        <v>393</v>
      </c>
      <c r="D70" s="49" t="s">
        <v>311</v>
      </c>
      <c r="E70" s="46" t="s">
        <v>394</v>
      </c>
    </row>
    <row r="71" spans="1:5">
      <c r="A71" s="47">
        <v>4653</v>
      </c>
      <c r="B71" s="46" t="s">
        <v>395</v>
      </c>
      <c r="C71" s="46" t="s">
        <v>396</v>
      </c>
      <c r="D71" s="49" t="s">
        <v>397</v>
      </c>
      <c r="E71" s="46" t="s">
        <v>398</v>
      </c>
    </row>
    <row r="72" spans="1:5">
      <c r="A72" s="47">
        <v>74591</v>
      </c>
      <c r="B72" s="46" t="s">
        <v>399</v>
      </c>
      <c r="C72" s="46" t="s">
        <v>400</v>
      </c>
      <c r="D72" s="49" t="s">
        <v>327</v>
      </c>
      <c r="E72" s="46" t="s">
        <v>401</v>
      </c>
    </row>
    <row r="73" spans="1:5">
      <c r="A73" s="47">
        <v>84877</v>
      </c>
      <c r="B73" s="46" t="s">
        <v>402</v>
      </c>
      <c r="C73" s="46" t="s">
        <v>403</v>
      </c>
      <c r="D73" s="49" t="s">
        <v>404</v>
      </c>
      <c r="E73" s="46" t="s">
        <v>405</v>
      </c>
    </row>
    <row r="74" spans="1:5">
      <c r="A74" s="47">
        <v>71402</v>
      </c>
      <c r="B74" s="46" t="s">
        <v>406</v>
      </c>
      <c r="C74" s="46" t="s">
        <v>407</v>
      </c>
      <c r="D74" s="49" t="s">
        <v>343</v>
      </c>
      <c r="E74" s="46" t="s">
        <v>408</v>
      </c>
    </row>
    <row r="75" spans="1:5">
      <c r="A75" s="47">
        <v>18123</v>
      </c>
      <c r="B75" s="46" t="s">
        <v>409</v>
      </c>
      <c r="C75" s="46" t="s">
        <v>410</v>
      </c>
      <c r="D75" s="49" t="s">
        <v>411</v>
      </c>
      <c r="E75" s="46" t="s">
        <v>412</v>
      </c>
    </row>
    <row r="76" spans="1:5">
      <c r="A76" s="47">
        <v>16733</v>
      </c>
      <c r="B76" s="46" t="s">
        <v>413</v>
      </c>
      <c r="C76" s="46" t="s">
        <v>414</v>
      </c>
      <c r="D76" s="49" t="s">
        <v>359</v>
      </c>
      <c r="E76" s="46" t="s">
        <v>415</v>
      </c>
    </row>
    <row r="77" spans="1:5">
      <c r="A77" s="47">
        <v>84477</v>
      </c>
      <c r="B77" s="46" t="s">
        <v>416</v>
      </c>
      <c r="C77" s="46" t="s">
        <v>417</v>
      </c>
      <c r="D77" s="49" t="s">
        <v>418</v>
      </c>
      <c r="E77" s="46" t="s">
        <v>419</v>
      </c>
    </row>
    <row r="78" spans="1:5">
      <c r="A78" s="47">
        <v>43456</v>
      </c>
      <c r="B78" s="46" t="s">
        <v>420</v>
      </c>
      <c r="C78" s="46" t="s">
        <v>421</v>
      </c>
      <c r="D78" s="49" t="s">
        <v>375</v>
      </c>
      <c r="E78" s="46" t="s">
        <v>422</v>
      </c>
    </row>
    <row r="79" spans="1:5">
      <c r="A79" s="47">
        <v>4770</v>
      </c>
      <c r="B79" s="46" t="s">
        <v>423</v>
      </c>
      <c r="C79" s="46" t="s">
        <v>424</v>
      </c>
      <c r="D79" s="49" t="s">
        <v>425</v>
      </c>
      <c r="E79" s="46" t="s">
        <v>426</v>
      </c>
    </row>
    <row r="80" spans="1:5">
      <c r="A80" s="47">
        <v>72185</v>
      </c>
      <c r="B80" s="46" t="s">
        <v>427</v>
      </c>
      <c r="C80" s="46" t="s">
        <v>428</v>
      </c>
      <c r="D80" s="49" t="s">
        <v>390</v>
      </c>
      <c r="E80" s="46" t="s">
        <v>429</v>
      </c>
    </row>
    <row r="81" spans="1:5">
      <c r="A81" s="47">
        <v>61785</v>
      </c>
      <c r="B81" s="46" t="s">
        <v>430</v>
      </c>
      <c r="C81" s="46" t="s">
        <v>431</v>
      </c>
      <c r="D81" s="49" t="s">
        <v>432</v>
      </c>
      <c r="E81" s="46" t="s">
        <v>433</v>
      </c>
    </row>
    <row r="82" spans="1:5">
      <c r="A82" s="47">
        <v>22070</v>
      </c>
      <c r="B82" s="46" t="s">
        <v>434</v>
      </c>
      <c r="C82" s="46" t="s">
        <v>435</v>
      </c>
      <c r="D82" s="49" t="s">
        <v>404</v>
      </c>
      <c r="E82" s="46" t="s">
        <v>436</v>
      </c>
    </row>
    <row r="83" spans="1:5">
      <c r="A83" s="47">
        <v>69267</v>
      </c>
      <c r="B83" s="46" t="s">
        <v>437</v>
      </c>
      <c r="C83" s="46" t="s">
        <v>438</v>
      </c>
      <c r="D83" s="49" t="s">
        <v>439</v>
      </c>
      <c r="E83" s="46" t="s">
        <v>440</v>
      </c>
    </row>
    <row r="84" spans="1:5">
      <c r="A84" s="47">
        <v>24491</v>
      </c>
      <c r="B84" s="46" t="s">
        <v>441</v>
      </c>
      <c r="C84" s="46" t="s">
        <v>442</v>
      </c>
      <c r="D84" s="49" t="s">
        <v>443</v>
      </c>
      <c r="E84" s="46" t="s">
        <v>444</v>
      </c>
    </row>
    <row r="85" spans="1:5">
      <c r="A85" s="47">
        <v>24136</v>
      </c>
      <c r="B85" s="46" t="s">
        <v>445</v>
      </c>
      <c r="C85" s="46" t="s">
        <v>446</v>
      </c>
      <c r="D85" s="49" t="s">
        <v>447</v>
      </c>
      <c r="E85" s="46" t="s">
        <v>448</v>
      </c>
    </row>
    <row r="86" spans="1:5">
      <c r="A86" s="47">
        <v>97771</v>
      </c>
      <c r="B86" s="46" t="s">
        <v>449</v>
      </c>
      <c r="C86" s="46" t="s">
        <v>450</v>
      </c>
      <c r="D86" s="49" t="s">
        <v>451</v>
      </c>
      <c r="E86" s="46" t="s">
        <v>452</v>
      </c>
    </row>
    <row r="87" spans="1:5">
      <c r="A87" s="47">
        <v>25240</v>
      </c>
      <c r="B87" s="46" t="s">
        <v>453</v>
      </c>
      <c r="C87" s="46" t="s">
        <v>454</v>
      </c>
      <c r="D87" s="49" t="s">
        <v>455</v>
      </c>
      <c r="E87" s="46" t="s">
        <v>456</v>
      </c>
    </row>
    <row r="88" spans="1:5">
      <c r="A88" s="47">
        <v>76361</v>
      </c>
      <c r="B88" s="46" t="s">
        <v>457</v>
      </c>
      <c r="C88" s="46" t="s">
        <v>458</v>
      </c>
      <c r="D88" s="49" t="s">
        <v>459</v>
      </c>
      <c r="E88" s="46" t="s">
        <v>460</v>
      </c>
    </row>
    <row r="89" spans="1:5">
      <c r="A89" s="47">
        <v>27132</v>
      </c>
      <c r="B89" s="46" t="s">
        <v>461</v>
      </c>
      <c r="C89" s="46" t="s">
        <v>462</v>
      </c>
      <c r="D89" s="49" t="s">
        <v>463</v>
      </c>
      <c r="E89" s="46" t="s">
        <v>464</v>
      </c>
    </row>
    <row r="90" spans="1:5">
      <c r="A90" s="47">
        <v>52728</v>
      </c>
      <c r="B90" s="46" t="s">
        <v>465</v>
      </c>
      <c r="C90" s="46" t="s">
        <v>466</v>
      </c>
      <c r="D90" s="49" t="s">
        <v>467</v>
      </c>
      <c r="E90" s="46" t="s">
        <v>468</v>
      </c>
    </row>
    <row r="91" spans="1:5">
      <c r="A91" s="47">
        <v>75785</v>
      </c>
      <c r="B91" s="46" t="s">
        <v>469</v>
      </c>
      <c r="C91" s="46" t="s">
        <v>470</v>
      </c>
      <c r="D91" s="49" t="s">
        <v>471</v>
      </c>
      <c r="E91" s="46" t="s">
        <v>472</v>
      </c>
    </row>
    <row r="92" spans="1:5">
      <c r="A92" s="47">
        <v>53052</v>
      </c>
      <c r="B92" s="46" t="s">
        <v>473</v>
      </c>
      <c r="C92" s="46" t="s">
        <v>474</v>
      </c>
      <c r="D92" s="49" t="s">
        <v>475</v>
      </c>
      <c r="E92" s="46" t="s">
        <v>476</v>
      </c>
    </row>
    <row r="93" spans="1:5">
      <c r="A93" s="47">
        <v>22600</v>
      </c>
      <c r="B93" s="46" t="s">
        <v>477</v>
      </c>
      <c r="C93" s="46" t="s">
        <v>478</v>
      </c>
      <c r="D93" s="49" t="s">
        <v>479</v>
      </c>
      <c r="E93" s="46" t="s">
        <v>480</v>
      </c>
    </row>
    <row r="94" spans="1:5">
      <c r="A94" s="47">
        <v>57138</v>
      </c>
      <c r="B94" s="46" t="s">
        <v>481</v>
      </c>
      <c r="C94" s="46" t="s">
        <v>482</v>
      </c>
      <c r="D94" s="49" t="s">
        <v>483</v>
      </c>
      <c r="E94" s="46" t="s">
        <v>484</v>
      </c>
    </row>
    <row r="95" spans="1:5">
      <c r="A95" s="47">
        <v>67870</v>
      </c>
      <c r="B95" s="46" t="s">
        <v>485</v>
      </c>
      <c r="C95" s="46" t="s">
        <v>486</v>
      </c>
      <c r="D95" s="49" t="s">
        <v>487</v>
      </c>
      <c r="E95" s="46" t="s">
        <v>488</v>
      </c>
    </row>
    <row r="96" spans="1:5">
      <c r="A96" s="47">
        <v>82402</v>
      </c>
      <c r="B96" s="46" t="s">
        <v>489</v>
      </c>
      <c r="C96" s="46" t="s">
        <v>490</v>
      </c>
      <c r="D96" s="49" t="s">
        <v>491</v>
      </c>
      <c r="E96" s="46" t="s">
        <v>492</v>
      </c>
    </row>
    <row r="97" spans="1:5">
      <c r="A97" s="47">
        <v>8552</v>
      </c>
      <c r="B97" s="46" t="s">
        <v>493</v>
      </c>
      <c r="C97" s="46" t="s">
        <v>494</v>
      </c>
      <c r="D97" s="49" t="s">
        <v>495</v>
      </c>
      <c r="E97" s="46" t="s">
        <v>496</v>
      </c>
    </row>
    <row r="98" spans="1:5">
      <c r="A98" s="47">
        <v>17958</v>
      </c>
      <c r="B98" s="46" t="s">
        <v>497</v>
      </c>
      <c r="C98" s="46" t="s">
        <v>498</v>
      </c>
      <c r="D98" s="49" t="s">
        <v>499</v>
      </c>
      <c r="E98" s="46" t="s">
        <v>500</v>
      </c>
    </row>
    <row r="99" spans="1:5">
      <c r="A99" s="47">
        <v>7472</v>
      </c>
      <c r="B99" s="46" t="s">
        <v>501</v>
      </c>
      <c r="C99" s="46" t="s">
        <v>502</v>
      </c>
      <c r="D99" s="49" t="s">
        <v>503</v>
      </c>
      <c r="E99" s="46" t="s">
        <v>504</v>
      </c>
    </row>
    <row r="100" spans="1:5">
      <c r="A100" s="47">
        <v>5239</v>
      </c>
      <c r="B100" s="46" t="s">
        <v>505</v>
      </c>
      <c r="C100" s="46" t="s">
        <v>506</v>
      </c>
      <c r="D100" s="49" t="s">
        <v>507</v>
      </c>
      <c r="E100" s="46" t="s">
        <v>508</v>
      </c>
    </row>
    <row r="101" spans="1:5">
      <c r="A101" s="47">
        <v>72755</v>
      </c>
      <c r="B101" s="46" t="s">
        <v>509</v>
      </c>
      <c r="C101" s="46" t="s">
        <v>510</v>
      </c>
      <c r="D101" s="49" t="s">
        <v>511</v>
      </c>
      <c r="E101" s="46" t="s">
        <v>512</v>
      </c>
    </row>
    <row r="102" spans="1:5">
      <c r="A102" s="47">
        <v>58836</v>
      </c>
      <c r="B102" s="46" t="s">
        <v>513</v>
      </c>
      <c r="C102" s="46" t="s">
        <v>514</v>
      </c>
      <c r="D102" s="49" t="s">
        <v>515</v>
      </c>
      <c r="E102" s="46" t="s">
        <v>516</v>
      </c>
    </row>
    <row r="103" spans="1:5">
      <c r="A103" s="47">
        <v>13342</v>
      </c>
      <c r="B103" s="46" t="s">
        <v>517</v>
      </c>
      <c r="C103" s="46" t="s">
        <v>518</v>
      </c>
      <c r="D103" s="49" t="s">
        <v>519</v>
      </c>
      <c r="E103" s="46" t="s">
        <v>520</v>
      </c>
    </row>
    <row r="104" spans="1:5">
      <c r="A104" s="45"/>
      <c r="B104" s="45"/>
      <c r="C104" s="52"/>
      <c r="D104" s="45"/>
      <c r="E104" s="53"/>
    </row>
    <row r="105" spans="1:5">
      <c r="A105" s="45"/>
      <c r="B105" s="45"/>
      <c r="C105" s="52"/>
      <c r="D105" s="45"/>
      <c r="E105" s="53"/>
    </row>
    <row r="106" spans="1:5">
      <c r="A106" s="45"/>
      <c r="B106" s="45"/>
      <c r="C106" s="52"/>
      <c r="D106" s="45"/>
      <c r="E106" s="53"/>
    </row>
    <row r="107" spans="1:5">
      <c r="A107" s="45"/>
      <c r="B107" s="45"/>
      <c r="C107" s="52"/>
      <c r="D107" s="45"/>
      <c r="E107" s="53"/>
    </row>
    <row r="108" spans="1:5">
      <c r="A108" s="45"/>
      <c r="B108" s="45"/>
      <c r="C108" s="52"/>
      <c r="D108" s="45"/>
      <c r="E108" s="53"/>
    </row>
    <row r="109" spans="1:5">
      <c r="A109" s="45"/>
      <c r="B109" s="45"/>
      <c r="C109" s="52"/>
      <c r="D109" s="45"/>
      <c r="E109" s="53"/>
    </row>
    <row r="110" spans="1:5">
      <c r="A110" s="45"/>
      <c r="B110" s="45"/>
      <c r="C110" s="52"/>
      <c r="D110" s="45"/>
      <c r="E110" s="53"/>
    </row>
    <row r="111" spans="1:5">
      <c r="A111" s="45"/>
      <c r="B111" s="45"/>
      <c r="C111" s="52"/>
      <c r="D111" s="45"/>
      <c r="E111" s="53"/>
    </row>
    <row r="112" spans="1:5">
      <c r="A112" s="45"/>
      <c r="B112" s="45"/>
      <c r="C112" s="52"/>
      <c r="D112" s="45"/>
      <c r="E112" s="53"/>
    </row>
  </sheetData>
  <hyperlinks>
    <hyperlink ref="D2" r:id="rId1" xr:uid="{87DBCDE6-CFE1-4A81-8DC0-039D3DE32893}"/>
    <hyperlink ref="D3" r:id="rId2" xr:uid="{EA56B0C2-F772-4100-8335-49BB0A03C7F2}"/>
    <hyperlink ref="D4" r:id="rId3" xr:uid="{A607C333-2E57-4CC6-872B-8C23A8AA8E38}"/>
    <hyperlink ref="D5" r:id="rId4" xr:uid="{81F52C7F-FFB1-4353-9EED-295DD37B23BE}"/>
    <hyperlink ref="D6" r:id="rId5" xr:uid="{01831215-3E45-42A3-A76C-D3CC557231FD}"/>
    <hyperlink ref="D7" r:id="rId6" xr:uid="{BA03B676-9813-4D96-B2B3-7515B87839F4}"/>
    <hyperlink ref="D8" r:id="rId7" xr:uid="{C328796E-1082-46F0-96C0-C7ABE1F11F51}"/>
    <hyperlink ref="D9" r:id="rId8" xr:uid="{8714502F-AB85-43C9-989D-12842AD959FA}"/>
    <hyperlink ref="D10" r:id="rId9" xr:uid="{2673F2A7-646D-4F00-834C-117909930BC8}"/>
    <hyperlink ref="D11" r:id="rId10" xr:uid="{5FA86BEB-EF78-4173-BCA7-3A67F7D9D11E}"/>
    <hyperlink ref="D12" r:id="rId11" xr:uid="{DF7CE103-AC71-4C4C-8D45-AC9D77C62C59}"/>
    <hyperlink ref="D13" r:id="rId12" xr:uid="{DF69ED94-057E-49A5-9E74-BF034F75E3D2}"/>
    <hyperlink ref="D14" r:id="rId13" xr:uid="{1A5E9C7A-A9AC-4F2B-85F7-6AA893D1A040}"/>
    <hyperlink ref="D15" r:id="rId14" xr:uid="{816AAB39-12FA-4CCE-B68F-6210CD61B3D9}"/>
    <hyperlink ref="D16" r:id="rId15" xr:uid="{76533B21-55F7-4A0B-B705-22B988E23A6E}"/>
    <hyperlink ref="D17" r:id="rId16" xr:uid="{DD7A5232-A01B-460B-B367-1F76C790F3A1}"/>
    <hyperlink ref="D18" r:id="rId17" xr:uid="{BD37E3C9-64FF-40A5-8AB9-2A0FF762E9CE}"/>
    <hyperlink ref="D19" r:id="rId18" xr:uid="{36B5450B-B9A8-46B3-98F3-96AC3B1FCD54}"/>
    <hyperlink ref="D20" r:id="rId19" xr:uid="{71C083E2-CF1D-45EB-95C5-B4EAACEC83A5}"/>
    <hyperlink ref="D21" r:id="rId20" xr:uid="{536FB71C-7ACE-4952-BC20-CE5B49CB6965}"/>
    <hyperlink ref="D22" r:id="rId21" xr:uid="{60BF0123-C43A-4078-B57F-D5345B5B40E3}"/>
    <hyperlink ref="D23" r:id="rId22" xr:uid="{CAE8E7BB-A418-49B2-8186-57667A234578}"/>
    <hyperlink ref="D24" r:id="rId23" xr:uid="{0A9EECC7-AEE4-41F4-B2D5-76A6A2D90648}"/>
    <hyperlink ref="D25" r:id="rId24" xr:uid="{E90D5565-8F1A-425D-BE86-6FDC7994AFC0}"/>
    <hyperlink ref="D26" r:id="rId25" xr:uid="{14812F11-E52C-4365-A08F-BCF2601DDD2C}"/>
    <hyperlink ref="D27" r:id="rId26" xr:uid="{056BDBE6-02CD-4CEF-B04E-B5CC21718474}"/>
    <hyperlink ref="D28" r:id="rId27" xr:uid="{FDD95FD6-F0D1-44B6-B02C-712EF600418B}"/>
    <hyperlink ref="D29" r:id="rId28" xr:uid="{87087249-6762-4B9A-9778-3496EC7FEB3D}"/>
    <hyperlink ref="D30" r:id="rId29" xr:uid="{06FEE817-1203-4BAA-9F11-13D4EAE95322}"/>
    <hyperlink ref="D31" r:id="rId30" xr:uid="{FE2C067F-7752-42AA-864A-460BFCABB30B}"/>
    <hyperlink ref="D32" r:id="rId31" xr:uid="{07535A65-0679-46A6-ACBD-DCB454FF9387}"/>
    <hyperlink ref="D33" r:id="rId32" xr:uid="{ADBBE572-268E-4F20-B2B2-487495257662}"/>
    <hyperlink ref="D34" r:id="rId33" xr:uid="{8AD3B179-EA74-4CFE-AB42-7E6AA0C9A1C2}"/>
    <hyperlink ref="D35" r:id="rId34" xr:uid="{30634C0A-2559-465D-A676-267124F9EE04}"/>
    <hyperlink ref="D36" r:id="rId35" xr:uid="{81177249-6352-42C5-8E50-3AA1F258B49B}"/>
    <hyperlink ref="D37" r:id="rId36" xr:uid="{7E09636C-1BA4-4BCA-8C5C-00586458B2C1}"/>
    <hyperlink ref="D38" r:id="rId37" xr:uid="{ADAAC7FF-FC98-4879-BAA1-0EC7D09ED249}"/>
    <hyperlink ref="D39" r:id="rId38" xr:uid="{B6731E51-55D2-44C9-AFFA-F5BD0CE990AD}"/>
    <hyperlink ref="D40" r:id="rId39" xr:uid="{6C9DA692-6A49-4CE4-9CC7-2D26ABF46AA7}"/>
    <hyperlink ref="D41" r:id="rId40" xr:uid="{4A720BA8-D8D7-4020-B3D3-FF3D1A525F6E}"/>
    <hyperlink ref="D42" r:id="rId41" xr:uid="{E2A9471B-14B1-43F9-A18F-CCFD944E41C9}"/>
    <hyperlink ref="D43" r:id="rId42" xr:uid="{042D9BF9-B18F-405D-B91A-33D461806AB3}"/>
    <hyperlink ref="D44" r:id="rId43" xr:uid="{3CCEC3EA-E179-4183-AED7-471D89B1CF81}"/>
    <hyperlink ref="D45" r:id="rId44" xr:uid="{EC5B145B-52FE-4AD3-BEDA-6F4DB35ECC05}"/>
    <hyperlink ref="D46" r:id="rId45" xr:uid="{8FCE8A06-BAD6-48FE-99D7-66010693E7CD}"/>
    <hyperlink ref="D47" r:id="rId46" xr:uid="{1EEB08C1-DDBB-4316-A369-640B8206FB6F}"/>
    <hyperlink ref="D48" r:id="rId47" xr:uid="{9773DF92-8178-49B0-BC3F-B6C91E156B71}"/>
    <hyperlink ref="D49" r:id="rId48" xr:uid="{A858357B-9A2D-4F2B-A702-BA8014F82DE5}"/>
    <hyperlink ref="D50" r:id="rId49" xr:uid="{AFABAFB4-7F5E-4805-9992-A8891A1A0F9C}"/>
    <hyperlink ref="D51" r:id="rId50" xr:uid="{229CE916-58CF-40E6-87C4-7E780C514109}"/>
    <hyperlink ref="D52" r:id="rId51" xr:uid="{262C4FDF-115C-485A-8FA0-9518078C4BCA}"/>
    <hyperlink ref="D53" r:id="rId52" xr:uid="{6BE6E03A-9B44-41D3-856D-426C5B3593D0}"/>
    <hyperlink ref="D54" r:id="rId53" xr:uid="{D469AB93-1E90-402C-B726-54319B2D6A60}"/>
    <hyperlink ref="D55" r:id="rId54" xr:uid="{10CEC946-7EB0-4EA8-8397-AFC9AEE013E5}"/>
    <hyperlink ref="D56" r:id="rId55" xr:uid="{107CD528-B2EA-4F53-999B-10444D78918A}"/>
    <hyperlink ref="D57" r:id="rId56" xr:uid="{B1DBD226-A700-4D62-BDA0-89E985CEBFF9}"/>
    <hyperlink ref="D58" r:id="rId57" xr:uid="{B0F6A2D7-9761-473C-8CA8-16479809D1FA}"/>
    <hyperlink ref="D59" r:id="rId58" xr:uid="{2D05D6B7-DC6F-453F-AEF3-D3115D6D1A5A}"/>
    <hyperlink ref="D60" r:id="rId59" xr:uid="{468F9F85-E44A-4F12-A48D-5D124ADE408B}"/>
    <hyperlink ref="D61" r:id="rId60" xr:uid="{C7864000-DC51-44B3-A339-EC036E170BE8}"/>
    <hyperlink ref="D62" r:id="rId61" xr:uid="{3F020EB4-F445-42DD-9015-EAD5F9BC1DEA}"/>
    <hyperlink ref="D63" r:id="rId62" xr:uid="{8786B349-39A3-4A14-ADE7-25675E03A03A}"/>
    <hyperlink ref="D65" r:id="rId63" xr:uid="{627CA530-4828-45C9-A4D8-F442EB4A915E}"/>
    <hyperlink ref="D66" r:id="rId64" xr:uid="{3062AE0B-B561-4716-83AD-C5D8C4D43991}"/>
    <hyperlink ref="D67" r:id="rId65" xr:uid="{758A5F5B-8340-4DDE-B4BC-B673365F233B}"/>
    <hyperlink ref="D68" r:id="rId66" xr:uid="{29C64D64-38C8-4106-81FC-E10A551533DF}"/>
    <hyperlink ref="D69" r:id="rId67" xr:uid="{30A87C3D-7E38-49F5-AC59-27AA250304BF}"/>
    <hyperlink ref="D70" r:id="rId68" xr:uid="{EF5E0C29-4D65-4E1D-B7BD-EDD2500A7584}"/>
    <hyperlink ref="D71" r:id="rId69" xr:uid="{6EA3F6BD-8536-4224-8B4B-20D9CCB7878C}"/>
    <hyperlink ref="D72" r:id="rId70" xr:uid="{D3FD4DAF-5C5C-4AB0-9F68-CF11BC4BFD9F}"/>
    <hyperlink ref="D73" r:id="rId71" xr:uid="{78B026AA-F316-4454-858D-033CF79B7ED2}"/>
    <hyperlink ref="D74" r:id="rId72" xr:uid="{FB6AD8C9-F28B-40FB-8FB3-66D9C6C67914}"/>
    <hyperlink ref="D75" r:id="rId73" xr:uid="{4B2AC341-5BB5-4E73-8D84-76BC404FBDBD}"/>
    <hyperlink ref="D76" r:id="rId74" xr:uid="{FEF9DBB7-6416-4B8A-9D75-B561ADE596BE}"/>
    <hyperlink ref="D77" r:id="rId75" xr:uid="{C707ACBC-5AF9-40B8-A8B5-90020CD77D17}"/>
    <hyperlink ref="D78" r:id="rId76" xr:uid="{EBAFE48F-8287-4EF3-93B5-EAF8EC56B61F}"/>
    <hyperlink ref="D79" r:id="rId77" xr:uid="{05E88F70-1453-4F35-8AD5-2B1230B35C30}"/>
    <hyperlink ref="D80" r:id="rId78" xr:uid="{885BB08A-3C09-4B76-AB54-4BD6567C39D9}"/>
    <hyperlink ref="D81" r:id="rId79" xr:uid="{D2A23102-66FA-4724-A2C3-2CAA34182F9E}"/>
    <hyperlink ref="D82" r:id="rId80" xr:uid="{239A7141-C584-4F6F-B2E1-D522D252DCC0}"/>
    <hyperlink ref="D83" r:id="rId81" xr:uid="{40BA37FE-0577-47EC-912E-F286EF21C09C}"/>
    <hyperlink ref="D84" r:id="rId82" xr:uid="{0EB63DB3-26AB-4888-B05B-04C25A751687}"/>
    <hyperlink ref="D85" r:id="rId83" xr:uid="{F1311238-7989-4CD3-9F2B-E9681A2C037F}"/>
    <hyperlink ref="D86" r:id="rId84" xr:uid="{FA44995A-BEA9-4C07-A174-B6F46F07CCDA}"/>
    <hyperlink ref="D87" r:id="rId85" xr:uid="{C1189322-5497-4B1A-9928-3148213A4006}"/>
    <hyperlink ref="D88" r:id="rId86" xr:uid="{086EF09C-E010-4DA6-9395-01F59897BDC8}"/>
    <hyperlink ref="D89" r:id="rId87" xr:uid="{72BE3837-F336-4604-ACC2-FB1FA840D91D}"/>
    <hyperlink ref="D90" r:id="rId88" xr:uid="{AC5B6462-B3AD-44FD-A0EA-684E9540E190}"/>
    <hyperlink ref="D91" r:id="rId89" xr:uid="{95D7B1AE-4DED-425B-8B2C-11D263955760}"/>
    <hyperlink ref="D92" r:id="rId90" xr:uid="{C1B3FBB4-5491-41D2-9146-CE5B643549A7}"/>
    <hyperlink ref="D93" r:id="rId91" xr:uid="{ADBC4046-94FA-4DE0-8B98-5BBAA6554429}"/>
    <hyperlink ref="D94" r:id="rId92" xr:uid="{CDCAF777-D8D0-4637-AB0F-09D789DB81E8}"/>
    <hyperlink ref="D95" r:id="rId93" xr:uid="{3839FDE6-2ED6-47F0-82B9-FA3558A5E414}"/>
    <hyperlink ref="D96" r:id="rId94" xr:uid="{3020133D-2275-4A32-B218-84DCCA0BF6B8}"/>
    <hyperlink ref="D97" r:id="rId95" xr:uid="{B424C5FB-1D50-41BE-97FA-63DF7B5F8DD8}"/>
    <hyperlink ref="D98" r:id="rId96" xr:uid="{454F70C8-7831-4B1F-879C-AAEC85F78073}"/>
    <hyperlink ref="D99" r:id="rId97" xr:uid="{19FDA9D7-A85B-415A-AB96-67C84350D131}"/>
    <hyperlink ref="D100" r:id="rId98" xr:uid="{8F2B9196-296A-44B3-A3B8-AC05F981B4F2}"/>
    <hyperlink ref="D101" r:id="rId99" xr:uid="{46C836D8-041A-4B41-9A88-7DC2C5D28467}"/>
    <hyperlink ref="D102" r:id="rId100" xr:uid="{2FE51A47-0D7D-40C5-927A-956E4F506567}"/>
    <hyperlink ref="D103" r:id="rId101" xr:uid="{268274D3-929F-402D-B88F-0F2F663E8EA8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2" sqref="C2:J2"/>
    </sheetView>
  </sheetViews>
  <sheetFormatPr defaultRowHeight="14.6"/>
  <cols>
    <col min="1" max="1" width="22.07421875" style="6" hidden="1" customWidth="1"/>
    <col min="2" max="2" width="64.61328125" style="7" customWidth="1"/>
    <col min="3" max="3" width="15.4609375" style="8" customWidth="1"/>
    <col min="4" max="4" width="20.84375" style="9" customWidth="1"/>
    <col min="5" max="5" width="9.23046875" style="10" customWidth="1"/>
    <col min="6" max="6" width="12.3046875" style="10" customWidth="1"/>
    <col min="7" max="7" width="10.3828125" style="10" customWidth="1"/>
    <col min="8" max="8" width="9.23046875" style="10"/>
    <col min="9" max="9" width="9.23046875" style="10" customWidth="1"/>
    <col min="10" max="10" width="23.61328125" style="10" customWidth="1"/>
    <col min="11" max="11" width="18.61328125" style="9" customWidth="1"/>
    <col min="12" max="12" width="23.921875" style="9" customWidth="1"/>
    <col min="13" max="13" width="23.84375" style="9" customWidth="1"/>
    <col min="14" max="14" width="9.23046875" style="10"/>
    <col min="15" max="15" width="21.15234375" style="10" customWidth="1"/>
    <col min="16" max="16384" width="9.23046875" style="10"/>
  </cols>
  <sheetData>
    <row r="1" spans="1:13" hidden="1">
      <c r="A1" s="6" t="s">
        <v>102</v>
      </c>
      <c r="B1" s="7" t="s">
        <v>101</v>
      </c>
      <c r="C1" s="8" t="s">
        <v>103</v>
      </c>
    </row>
    <row r="2" spans="1:13" s="23" customFormat="1" ht="18.45">
      <c r="A2" s="24" t="s">
        <v>96</v>
      </c>
      <c r="B2" s="25" t="s">
        <v>66</v>
      </c>
      <c r="C2" s="57" t="s">
        <v>239</v>
      </c>
      <c r="D2" s="57"/>
      <c r="E2" s="57"/>
      <c r="F2" s="57"/>
      <c r="G2" s="57"/>
      <c r="H2" s="57"/>
      <c r="I2" s="57"/>
      <c r="J2" s="57"/>
      <c r="K2" s="22"/>
      <c r="L2" s="22"/>
      <c r="M2" s="22"/>
    </row>
    <row r="3" spans="1:13" ht="15.9">
      <c r="B3" s="7" t="s">
        <v>74</v>
      </c>
      <c r="C3" s="8">
        <f>COUNTA('Team Information'!A:A) - COUNTA('Team Information'!A1)</f>
        <v>102</v>
      </c>
      <c r="E3" s="54" t="s">
        <v>71</v>
      </c>
      <c r="F3" s="54"/>
      <c r="G3" s="54"/>
      <c r="H3" s="54"/>
      <c r="I3" s="54"/>
      <c r="J3" s="21">
        <f>IF(OR(ISBLANK(C38),C26="N/A"),"N/A",C26+TIME(0,C16-C23,0)+TIME(0,E35,0)+(CEILING(C3/(2*C38),1)+IF(C40&gt;0,FLOOR(C3/(2*C40),1),0))*(TIME(0,SUM(F35:K35),0)))</f>
        <v>0.73611111111111094</v>
      </c>
    </row>
    <row r="6" spans="1:13">
      <c r="A6" s="6" t="s">
        <v>86</v>
      </c>
      <c r="B6" s="7" t="s">
        <v>67</v>
      </c>
      <c r="C6" s="3" t="s">
        <v>68</v>
      </c>
      <c r="D6" s="55" t="s">
        <v>85</v>
      </c>
      <c r="E6" s="56"/>
      <c r="F6" s="56"/>
      <c r="G6" s="56"/>
      <c r="H6" s="56"/>
      <c r="I6" s="56"/>
      <c r="J6" s="56"/>
      <c r="K6" s="56"/>
      <c r="L6" s="56"/>
      <c r="M6" s="10"/>
    </row>
    <row r="7" spans="1:13">
      <c r="A7" s="6" t="s">
        <v>87</v>
      </c>
      <c r="B7" s="7" t="s">
        <v>78</v>
      </c>
      <c r="C7" s="37">
        <v>12.5</v>
      </c>
      <c r="D7" s="55"/>
      <c r="E7" s="56"/>
      <c r="F7" s="56"/>
      <c r="G7" s="56"/>
      <c r="H7" s="56"/>
      <c r="I7" s="56"/>
      <c r="J7" s="56"/>
      <c r="K7" s="56"/>
      <c r="L7" s="56"/>
      <c r="M7" s="10"/>
    </row>
    <row r="8" spans="1:13">
      <c r="A8" s="6" t="s">
        <v>127</v>
      </c>
      <c r="B8" s="7" t="s">
        <v>134</v>
      </c>
      <c r="C8" s="36">
        <v>0.375</v>
      </c>
      <c r="D8" s="26"/>
      <c r="E8" s="26"/>
      <c r="F8" s="26"/>
      <c r="G8" s="26"/>
      <c r="H8" s="26"/>
      <c r="I8" s="26"/>
      <c r="J8" s="26"/>
      <c r="K8" s="26"/>
      <c r="L8" s="26"/>
      <c r="M8" s="10"/>
    </row>
    <row r="9" spans="1:13">
      <c r="A9" s="6" t="s">
        <v>128</v>
      </c>
      <c r="B9" s="7" t="s">
        <v>133</v>
      </c>
      <c r="C9" s="37">
        <v>30</v>
      </c>
      <c r="D9" s="26"/>
      <c r="E9" s="26"/>
      <c r="F9" s="26"/>
      <c r="G9" s="26"/>
      <c r="H9" s="26"/>
      <c r="I9" s="26"/>
      <c r="J9" s="26"/>
      <c r="K9" s="26"/>
      <c r="L9" s="26"/>
      <c r="M9" s="10"/>
    </row>
    <row r="10" spans="1:13">
      <c r="A10" s="6" t="s">
        <v>132</v>
      </c>
      <c r="B10" s="7" t="s">
        <v>135</v>
      </c>
      <c r="C10" s="38" t="s">
        <v>240</v>
      </c>
      <c r="D10" s="26"/>
      <c r="E10" s="26"/>
      <c r="F10" s="26"/>
      <c r="G10" s="26"/>
      <c r="H10" s="26"/>
      <c r="I10" s="26"/>
      <c r="J10" s="26"/>
      <c r="K10" s="26"/>
      <c r="L10" s="26"/>
      <c r="M10" s="10"/>
    </row>
    <row r="11" spans="1:13">
      <c r="A11" s="6" t="s">
        <v>129</v>
      </c>
      <c r="B11" s="7" t="s">
        <v>131</v>
      </c>
      <c r="C11" s="36">
        <v>0.35416666666666669</v>
      </c>
      <c r="D11" s="26"/>
      <c r="E11" s="26"/>
      <c r="F11" s="26"/>
      <c r="G11" s="26"/>
      <c r="H11" s="26"/>
      <c r="I11" s="26"/>
      <c r="J11" s="26"/>
      <c r="K11" s="26"/>
      <c r="L11" s="26"/>
      <c r="M11" s="10"/>
    </row>
    <row r="12" spans="1:13">
      <c r="A12" s="6" t="s">
        <v>130</v>
      </c>
      <c r="B12" s="7" t="s">
        <v>223</v>
      </c>
      <c r="C12" s="37">
        <v>15</v>
      </c>
      <c r="D12" s="20"/>
      <c r="E12" s="26"/>
      <c r="F12" s="26"/>
      <c r="G12" s="26"/>
      <c r="H12" s="26"/>
      <c r="I12" s="26"/>
      <c r="J12" s="26"/>
      <c r="K12" s="26"/>
      <c r="L12" s="26"/>
      <c r="M12" s="10"/>
    </row>
    <row r="13" spans="1:13">
      <c r="A13" s="6" t="s">
        <v>136</v>
      </c>
      <c r="B13" s="7" t="s">
        <v>137</v>
      </c>
      <c r="C13" s="38" t="s">
        <v>241</v>
      </c>
      <c r="D13" s="20"/>
      <c r="E13" s="26"/>
      <c r="F13" s="26"/>
      <c r="G13" s="26"/>
      <c r="H13" s="26"/>
      <c r="I13" s="26"/>
      <c r="J13" s="26"/>
      <c r="K13" s="26"/>
      <c r="L13" s="26"/>
      <c r="M13" s="10"/>
    </row>
    <row r="14" spans="1:13">
      <c r="A14" s="6" t="s">
        <v>226</v>
      </c>
      <c r="B14" s="7" t="s">
        <v>232</v>
      </c>
      <c r="C14" s="36">
        <v>0.45833333333333331</v>
      </c>
      <c r="D14" s="20"/>
      <c r="E14" s="26"/>
      <c r="F14" s="26"/>
      <c r="G14" s="26"/>
      <c r="H14" s="26"/>
      <c r="I14" s="26"/>
      <c r="J14" s="26"/>
      <c r="K14" s="26"/>
      <c r="L14" s="26"/>
      <c r="M14" s="10"/>
    </row>
    <row r="15" spans="1:13">
      <c r="A15" s="6" t="s">
        <v>227</v>
      </c>
      <c r="B15" s="7" t="s">
        <v>233</v>
      </c>
      <c r="C15" s="36">
        <v>0.54166666666666663</v>
      </c>
      <c r="D15" s="20"/>
      <c r="E15" s="26"/>
      <c r="F15" s="26"/>
      <c r="G15" s="26"/>
      <c r="H15" s="26"/>
      <c r="I15" s="26"/>
      <c r="J15" s="26"/>
      <c r="K15" s="26"/>
      <c r="L15" s="26"/>
      <c r="M15" s="10"/>
    </row>
    <row r="16" spans="1:13">
      <c r="A16" s="6" t="s">
        <v>224</v>
      </c>
      <c r="B16" s="7" t="s">
        <v>234</v>
      </c>
      <c r="C16" s="37">
        <v>30</v>
      </c>
      <c r="D16" s="20"/>
      <c r="E16" s="26"/>
      <c r="F16" s="26"/>
      <c r="G16" s="26"/>
      <c r="H16" s="26"/>
      <c r="I16" s="26"/>
      <c r="J16" s="26"/>
      <c r="K16" s="26"/>
      <c r="L16" s="26"/>
      <c r="M16" s="10"/>
    </row>
    <row r="17" spans="1:13">
      <c r="A17" s="6" t="s">
        <v>220</v>
      </c>
      <c r="B17" s="11"/>
      <c r="H17" s="33"/>
      <c r="J17" s="33"/>
    </row>
    <row r="18" spans="1:13">
      <c r="A18" s="6" t="s">
        <v>221</v>
      </c>
      <c r="B18" s="11" t="s">
        <v>72</v>
      </c>
      <c r="D18" s="13" t="s">
        <v>69</v>
      </c>
    </row>
    <row r="19" spans="1:13">
      <c r="A19" s="6" t="s">
        <v>100</v>
      </c>
      <c r="B19" s="7" t="s">
        <v>80</v>
      </c>
      <c r="C19" s="40">
        <v>0.40625</v>
      </c>
      <c r="D19" s="17">
        <f>MAX(C8+TIME(0, C9, 0), C11 + TIME(0, C12, 0)) + TIME(0, C7, 0)</f>
        <v>0.40416666666666667</v>
      </c>
      <c r="E19" s="18"/>
    </row>
    <row r="20" spans="1:13">
      <c r="A20" s="6" t="s">
        <v>88</v>
      </c>
      <c r="B20" s="7" t="s">
        <v>77</v>
      </c>
      <c r="C20" s="39">
        <v>9</v>
      </c>
      <c r="D20" s="19">
        <f>CEILING(C3/12, 1)</f>
        <v>9</v>
      </c>
      <c r="E20" s="16"/>
    </row>
    <row r="21" spans="1:13">
      <c r="A21" s="6" t="s">
        <v>89</v>
      </c>
      <c r="B21" s="7" t="s">
        <v>75</v>
      </c>
      <c r="C21" s="41" t="s">
        <v>221</v>
      </c>
      <c r="D21" s="19" t="str">
        <f>IF(COUNTIF('Team Information'!$1:$1, "Division") &gt; 0, "Disabled with divisions", IF(OR(MOD(C3, 2), C20 &gt; 2), "Yes", "No"))</f>
        <v>Yes</v>
      </c>
      <c r="E21" s="16"/>
    </row>
    <row r="22" spans="1:13">
      <c r="A22" s="6" t="s">
        <v>222</v>
      </c>
      <c r="B22" s="7" t="s">
        <v>82</v>
      </c>
      <c r="C22" s="15">
        <f>IF(ISBLANK(C20), "N/A", IF(C21="Yes",1+_xlfn.CEILING.MATH((C3-1)/C20), _xlfn.CEILING.MATH(C3/C20)))</f>
        <v>12</v>
      </c>
      <c r="D22" s="9" t="s">
        <v>83</v>
      </c>
      <c r="E22" s="16"/>
      <c r="F22" s="8"/>
      <c r="J22" s="34"/>
    </row>
    <row r="23" spans="1:13">
      <c r="A23" s="6" t="s">
        <v>90</v>
      </c>
      <c r="B23" s="7" t="s">
        <v>76</v>
      </c>
      <c r="C23" s="42">
        <v>17.5</v>
      </c>
      <c r="D23" s="9">
        <v>17.5</v>
      </c>
      <c r="E23" s="14"/>
    </row>
    <row r="24" spans="1:13">
      <c r="A24" s="6" t="s">
        <v>91</v>
      </c>
      <c r="B24" s="7" t="s">
        <v>235</v>
      </c>
      <c r="C24" s="42">
        <v>3</v>
      </c>
      <c r="D24" s="9">
        <v>3</v>
      </c>
    </row>
    <row r="25" spans="1:13">
      <c r="A25" s="6" t="s">
        <v>92</v>
      </c>
      <c r="B25" s="7" t="s">
        <v>79</v>
      </c>
      <c r="C25" s="42">
        <v>7.5</v>
      </c>
      <c r="D25" s="9">
        <f>IF(OR(C24 = 0, ISBLANK(C24), ISBLANK(C23)), "", MAX(C24*(20 - C23), 0))</f>
        <v>7.5</v>
      </c>
    </row>
    <row r="26" spans="1:13">
      <c r="A26" s="35">
        <f>MAX(C19:D19) + C22*TIME(0, C23, 0) + IF(C24 &gt; 0, TIME(0, C25, 0)*FLOOR((C22 - IF(C21="Yes", 3, 2))/C24, 1), 0)</f>
        <v>0.56249999999999989</v>
      </c>
      <c r="B26" s="7" t="s">
        <v>81</v>
      </c>
      <c r="C26" s="12">
        <f>IF(COUNTBLANK(C15:C25) &gt; 2, "N/A", A26 + IF(A26&gt;C15, TIME(0, MAX(0, C16 - C25), 0), 0))</f>
        <v>0.57777777777777761</v>
      </c>
      <c r="K26" s="13"/>
      <c r="L26" s="13"/>
      <c r="M26" s="13"/>
    </row>
    <row r="27" spans="1:13">
      <c r="C27" s="12"/>
      <c r="K27" s="13"/>
      <c r="L27" s="13"/>
      <c r="M27" s="13"/>
    </row>
    <row r="28" spans="1:13" s="30" customFormat="1">
      <c r="A28" s="32" t="s">
        <v>97</v>
      </c>
      <c r="B28" s="29" t="s">
        <v>64</v>
      </c>
      <c r="C28" s="43" t="s">
        <v>242</v>
      </c>
      <c r="D28" s="44" t="s">
        <v>243</v>
      </c>
      <c r="E28" s="43" t="s">
        <v>244</v>
      </c>
      <c r="F28" s="43" t="s">
        <v>245</v>
      </c>
      <c r="G28" s="43" t="s">
        <v>246</v>
      </c>
      <c r="H28" s="43" t="s">
        <v>247</v>
      </c>
      <c r="I28" s="43" t="s">
        <v>248</v>
      </c>
      <c r="J28" s="43" t="s">
        <v>249</v>
      </c>
      <c r="K28" s="43" t="s">
        <v>250</v>
      </c>
      <c r="L28" s="31"/>
      <c r="M28" s="31"/>
    </row>
    <row r="29" spans="1:13" s="30" customFormat="1">
      <c r="A29" s="32" t="s">
        <v>98</v>
      </c>
      <c r="B29" s="29" t="s">
        <v>65</v>
      </c>
      <c r="C29" s="43" t="s">
        <v>251</v>
      </c>
      <c r="D29" s="44" t="s">
        <v>252</v>
      </c>
      <c r="E29" s="43" t="s">
        <v>253</v>
      </c>
      <c r="F29" s="43" t="s">
        <v>254</v>
      </c>
      <c r="G29" s="43" t="s">
        <v>255</v>
      </c>
      <c r="H29" s="43" t="s">
        <v>256</v>
      </c>
      <c r="I29" s="43" t="s">
        <v>257</v>
      </c>
      <c r="J29" s="43" t="s">
        <v>258</v>
      </c>
      <c r="K29" s="43" t="s">
        <v>259</v>
      </c>
      <c r="L29" s="31"/>
      <c r="M29" s="31"/>
    </row>
    <row r="30" spans="1:13" s="30" customFormat="1">
      <c r="A30" s="32" t="s">
        <v>99</v>
      </c>
      <c r="B30" s="29" t="s">
        <v>70</v>
      </c>
      <c r="C30" s="43" t="s">
        <v>260</v>
      </c>
      <c r="D30" s="44" t="s">
        <v>261</v>
      </c>
      <c r="E30" s="43" t="s">
        <v>262</v>
      </c>
      <c r="F30" s="43" t="s">
        <v>263</v>
      </c>
      <c r="G30" s="43" t="s">
        <v>264</v>
      </c>
      <c r="H30" s="43" t="s">
        <v>265</v>
      </c>
      <c r="I30" s="43" t="s">
        <v>266</v>
      </c>
      <c r="J30" s="43" t="s">
        <v>267</v>
      </c>
      <c r="K30" s="43" t="s">
        <v>268</v>
      </c>
      <c r="L30" s="31"/>
      <c r="M30" s="31"/>
    </row>
    <row r="31" spans="1:13" s="8" customFormat="1">
      <c r="A31" s="6"/>
      <c r="B31" s="7"/>
      <c r="D31" s="9"/>
      <c r="K31" s="9"/>
      <c r="L31" s="9"/>
      <c r="M31" s="9"/>
    </row>
    <row r="32" spans="1:13">
      <c r="B32" s="11" t="s">
        <v>73</v>
      </c>
      <c r="I32" s="7"/>
      <c r="J32" s="8"/>
    </row>
    <row r="33" spans="1:13" s="30" customFormat="1" ht="15.45" customHeight="1">
      <c r="A33" s="32" t="s">
        <v>94</v>
      </c>
      <c r="B33" s="29" t="s">
        <v>225</v>
      </c>
      <c r="C33" s="30" t="s">
        <v>271</v>
      </c>
      <c r="D33" s="31" t="s">
        <v>272</v>
      </c>
      <c r="E33" s="30" t="s">
        <v>237</v>
      </c>
      <c r="F33" s="30" t="s">
        <v>269</v>
      </c>
      <c r="G33" s="30" t="s">
        <v>270</v>
      </c>
      <c r="K33" s="31"/>
      <c r="L33" s="31"/>
      <c r="M33" s="31"/>
    </row>
    <row r="34" spans="1:13" s="30" customFormat="1" ht="15.45" customHeight="1">
      <c r="A34" s="32" t="s">
        <v>521</v>
      </c>
      <c r="B34" s="29" t="s">
        <v>238</v>
      </c>
      <c r="C34" s="30" t="s">
        <v>242</v>
      </c>
      <c r="D34" s="31" t="s">
        <v>243</v>
      </c>
      <c r="K34" s="31"/>
      <c r="L34" s="31"/>
      <c r="M34" s="31"/>
    </row>
    <row r="35" spans="1:13" s="4" customFormat="1">
      <c r="A35" s="6" t="s">
        <v>95</v>
      </c>
      <c r="B35" s="7" t="s">
        <v>138</v>
      </c>
      <c r="C35" s="4">
        <v>10</v>
      </c>
      <c r="D35" s="4">
        <v>10</v>
      </c>
      <c r="E35" s="4">
        <v>8</v>
      </c>
      <c r="F35" s="4">
        <v>8</v>
      </c>
      <c r="G35" s="4">
        <v>8</v>
      </c>
      <c r="K35" s="5"/>
      <c r="L35" s="5"/>
      <c r="M35" s="5"/>
    </row>
    <row r="36" spans="1:13" s="8" customFormat="1">
      <c r="A36" s="6"/>
      <c r="B36" s="7" t="s">
        <v>139</v>
      </c>
      <c r="C36" s="8">
        <f>IF(ISBLANK(C33), "", 10)</f>
        <v>10</v>
      </c>
      <c r="D36" s="8">
        <f>IF(OR(ISBLANK(D33), ISBLANK(C36)), "", 10)</f>
        <v>10</v>
      </c>
      <c r="E36" s="8">
        <f t="shared" ref="E36:L36" si="0">IF(OR(ISBLANK(E33), ISBLANK(D36)), "", 8)</f>
        <v>8</v>
      </c>
      <c r="F36" s="8">
        <f t="shared" si="0"/>
        <v>8</v>
      </c>
      <c r="G36" s="8">
        <f t="shared" si="0"/>
        <v>8</v>
      </c>
      <c r="H36" s="8" t="str">
        <f t="shared" si="0"/>
        <v/>
      </c>
      <c r="I36" s="8" t="str">
        <f t="shared" si="0"/>
        <v/>
      </c>
      <c r="J36" s="8" t="str">
        <f t="shared" si="0"/>
        <v/>
      </c>
      <c r="K36" s="8" t="str">
        <f t="shared" si="0"/>
        <v/>
      </c>
      <c r="L36" s="8" t="str">
        <f t="shared" si="0"/>
        <v/>
      </c>
      <c r="M36" s="9"/>
    </row>
    <row r="37" spans="1:13" s="8" customFormat="1">
      <c r="A37" s="6"/>
      <c r="B37" s="7"/>
      <c r="M37" s="9"/>
    </row>
    <row r="38" spans="1:13">
      <c r="A38" s="6" t="s">
        <v>93</v>
      </c>
      <c r="B38" s="7" t="s">
        <v>84</v>
      </c>
      <c r="C38" s="3">
        <v>8</v>
      </c>
      <c r="D38" s="9">
        <f>IF(OR(ISBLANK(C20), COUNTBLANK(C23:C25) &gt; 0), "N/A", CEILING(3/2*C20*C35/(C23+C25/C24), 1))</f>
        <v>7</v>
      </c>
    </row>
    <row r="39" spans="1:13">
      <c r="A39" s="6" t="s">
        <v>228</v>
      </c>
      <c r="B39" s="7" t="s">
        <v>229</v>
      </c>
      <c r="C39" s="28" t="s">
        <v>221</v>
      </c>
    </row>
    <row r="40" spans="1:13">
      <c r="A40" s="6" t="s">
        <v>231</v>
      </c>
      <c r="B40" s="7" t="s">
        <v>236</v>
      </c>
      <c r="C40" s="27">
        <v>8</v>
      </c>
    </row>
    <row r="41" spans="1:13" s="31" customFormat="1">
      <c r="A41" s="32" t="s">
        <v>105</v>
      </c>
      <c r="B41" s="29" t="s">
        <v>104</v>
      </c>
      <c r="C41" s="31" t="s">
        <v>273</v>
      </c>
      <c r="D41" s="31" t="s">
        <v>274</v>
      </c>
      <c r="E41" s="31" t="s">
        <v>275</v>
      </c>
      <c r="F41" s="31" t="s">
        <v>276</v>
      </c>
      <c r="G41" s="31" t="s">
        <v>277</v>
      </c>
      <c r="H41" s="31" t="s">
        <v>278</v>
      </c>
      <c r="I41" s="31" t="s">
        <v>279</v>
      </c>
      <c r="J41" s="31" t="s">
        <v>280</v>
      </c>
    </row>
    <row r="42" spans="1:13" s="31" customFormat="1">
      <c r="A42" s="32" t="s">
        <v>140</v>
      </c>
      <c r="B42" s="29" t="s">
        <v>230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2019-05-19T19:48:22Z</dcterms:modified>
</cp:coreProperties>
</file>