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5235D9FD-B5C7-477B-88AE-DFC3E5DEA593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<sst xmlns="http://schemas.openxmlformats.org/spreadsheetml/2006/main" count="179" uniqueCount="177">
  <si>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</si>
  <si>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</si>
  <si>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</si>
  <si>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</si>
  <si>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</si>
  <si>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</si>
  <si>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</si>
  <si>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</si>
  <si>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</si>
  <si>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</si>
  <si>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</si>
  <si>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</si>
  <si>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</si>
  <si>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</si>
  <si>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</si>
  <si>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</si>
  <si>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</si>
  <si>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</si>
  <si>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</si>
  <si>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</si>
  <si>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</si>
  <si>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</si>
  <si>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</si>
  <si>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</si>
  <si>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</si>
  <si>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</si>
  <si>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</si>
  <si>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</si>
  <si>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</si>
  <si>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</si>
  <si>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</si>
  <si>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</si>
  <si>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</si>
  <si>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</si>
  <si>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</si>
  <si>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</si>
  <si>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</si>
  <si>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</si>
  <si>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</si>
  <si>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</si>
  <si>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</si>
  <si>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</si>
  <si>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</si>
  <si>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</si>
  <si>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</si>
  <si>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</si>
  <si>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</si>
  <si>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</si>
  <si>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</si>
  <si>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</si>
  <si>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</si>
  <si>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</si>
  <si>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</si>
  <si>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</si>
  <si>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</si>
  <si>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</si>
  <si>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</si>
  <si>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</si>
  <si>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</si>
  <si>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</si>
  <si>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</si>
  <si>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</si>
  <si>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</si>
  <si>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</si>
  <si>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</si>
  <si>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</si>
  <si>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</si>
  <si>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</si>
  <si>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</si>
  <si>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</si>
  <si>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</si>
  <si>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</si>
  <si>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</si>
  <si>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</si>
  <si>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</si>
  <si>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</si>
  <si>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</si>
  <si>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</si>
  <si>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</si>
  <si>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</si>
  <si>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</si>
  <si>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</si>
  <si>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</si>
  <si>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</si>
  <si>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</si>
  <si>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</si>
  <si>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</si>
  <si>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</si>
  <si>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</si>
  <si>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</si>
  <si>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</si>
  <si>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</si>
  <si>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</si>
  <si>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</si>
  <si>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</si>
  <si>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</si>
  <si>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</si>
  <si>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</si>
  <si>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</si>
  <si>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</si>
  <si>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</si>
  <si>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</si>
  <si>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</si>
  <si>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</si>
  <si>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</si>
  <si>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</si>
  <si>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</si>
  <si>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</si>
  <si>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</si>
  <si>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</si>
  <si>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</si>
  <si>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</si>
  <si>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</si>
  <si>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</si>
  <si>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</si>
  <si>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</si>
  <si>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</si>
  <si>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</si>
  <si>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</si>
  <si>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</si>
  <si>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</si>
  <si>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</si>
  <si>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</si>
  <si>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</si>
  <si>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</si>
  <si>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</si>
  <si>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</si>
  <si>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</si>
  <si>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</si>
  <si>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</si>
  <si>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</si>
  <si>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</si>
  <si>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</si>
  <si>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</si>
  <si>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</si>
  <si>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</si>
  <si>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</si>
  <si>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</si>
  <si>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</si>
  <si>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</si>
  <si>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</si>
  <si>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</si>
  <si>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</si>
  <si>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</si>
  <si>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</si>
  <si>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</si>
  <si>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</si>
  <si>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</si>
  <si>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</si>
  <si>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</si>
  <si>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</si>
  <si>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</si>
  <si>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</si>
  <si>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</si>
  <si>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</si>
  <si>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</si>
  <si>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</si>
  <si>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</si>
  <si>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Practice</t>
  </si>
  <si>
    <t>Table Round Abbrevation (eg, 'Practice Round' -&gt; 'P'; optional)</t>
  </si>
  <si>
    <t>Newport News</t>
  </si>
  <si>
    <t>Gym</t>
  </si>
  <si>
    <t>Registration</t>
  </si>
  <si>
    <t>PR 1</t>
  </si>
  <si>
    <t>PR2</t>
  </si>
  <si>
    <t>RD 1</t>
  </si>
  <si>
    <t>RD 2</t>
  </si>
  <si>
    <t>CV 1</t>
  </si>
  <si>
    <t>CV 2</t>
  </si>
  <si>
    <t>1</t>
  </si>
  <si>
    <t>2</t>
  </si>
  <si>
    <t>3</t>
  </si>
  <si>
    <t>Red</t>
  </si>
  <si>
    <t>Green</t>
  </si>
  <si>
    <t>Purple</t>
  </si>
  <si>
    <t>White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</si>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</sst>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B9" sqref="B9"/>
    </sheetView>
  </sheetViews>
  <sheetFormatPr defaultRowHeight="14.6" x14ac:dyDescent="0.4"/>
  <cols>
    <col min="1" max="1" width="12.69140625" style="1" bestFit="1" customWidth="1"/>
    <col min="2" max="2" width="28.765625" style="1" bestFit="1" customWidth="1"/>
    <col min="3" max="3" width="16.53515625" style="1" bestFit="1" customWidth="1"/>
    <col min="4" max="4" width="28.69140625" style="1" bestFit="1" customWidth="1"/>
    <col min="5" max="5" width="13.4609375" style="1" bestFit="1" customWidth="1"/>
    <col min="6" max="6" width="18.23046875" style="1" customWidth="1"/>
    <col min="7" max="7" width="9.23046875" style="1"/>
    <col min="8" max="8" width="19.53515625" style="1" bestFit="1" customWidth="1"/>
    <col min="9" max="9" width="10.84375" style="1" customWidth="1"/>
    <col min="10" max="10" width="11" style="1" customWidth="1"/>
    <col min="11" max="11" width="9.23046875" style="1" customWidth="1"/>
    <col min="12" max="12" width="21.921875" style="1" customWidth="1"/>
    <col min="13" max="13" width="26.3828125" style="1" customWidth="1"/>
    <col min="14" max="14" width="28.69140625" style="1" customWidth="1"/>
    <col min="15" max="16384" width="9.23046875" style="1"/>
  </cols>
  <sheetData>
    <row r="1" spans="1:14" x14ac:dyDescent="0.4">
      <c r="A1" s="40" t="s">
        <v>0</v>
      </c>
      <c r="B1" s="40" t="s">
        <v>1</v>
      </c>
      <c r="C1" s="40" t="s">
        <v>2</v>
      </c>
      <c r="D1" s="40" t="s">
        <v>106</v>
      </c>
      <c r="E1" s="40" t="s">
        <v>3</v>
      </c>
      <c r="F1" s="37"/>
      <c r="G1" s="37"/>
      <c r="H1" s="37"/>
      <c r="I1" s="37"/>
      <c r="J1" s="37"/>
      <c r="K1" s="37"/>
      <c r="L1" s="37"/>
      <c r="M1" s="40"/>
      <c r="N1" s="2"/>
    </row>
    <row r="2" spans="1:14" x14ac:dyDescent="0.4">
      <c r="A2" s="39">
        <v>16935</v>
      </c>
      <c r="B2" s="38" t="s">
        <v>6</v>
      </c>
      <c r="C2" s="38" t="s">
        <v>23</v>
      </c>
      <c r="D2" s="41" t="s">
        <v>107</v>
      </c>
      <c r="E2" s="38" t="s">
        <v>42</v>
      </c>
      <c r="F2" s="37"/>
      <c r="G2" s="37"/>
      <c r="H2" s="37"/>
      <c r="I2" s="37"/>
      <c r="J2" s="37"/>
      <c r="K2" s="37"/>
      <c r="L2" s="37"/>
      <c r="M2" s="37"/>
    </row>
    <row r="3" spans="1:14" x14ac:dyDescent="0.4">
      <c r="A3" s="39">
        <v>2463</v>
      </c>
      <c r="B3" s="38" t="s">
        <v>7</v>
      </c>
      <c r="C3" s="38" t="s">
        <v>24</v>
      </c>
      <c r="D3" s="41" t="s">
        <v>108</v>
      </c>
      <c r="E3" s="38" t="s">
        <v>43</v>
      </c>
      <c r="F3" s="37"/>
      <c r="G3" s="37"/>
      <c r="H3" s="37"/>
      <c r="I3" s="37"/>
      <c r="J3" s="37"/>
      <c r="K3" s="37"/>
      <c r="L3" s="37"/>
      <c r="M3" s="37"/>
    </row>
    <row r="4" spans="1:14" x14ac:dyDescent="0.4">
      <c r="A4" s="39">
        <v>33754</v>
      </c>
      <c r="B4" s="38" t="s">
        <v>9</v>
      </c>
      <c r="C4" s="38" t="s">
        <v>25</v>
      </c>
      <c r="D4" s="41" t="s">
        <v>109</v>
      </c>
      <c r="E4" s="38" t="s">
        <v>44</v>
      </c>
      <c r="F4" s="37"/>
      <c r="G4" s="37"/>
      <c r="H4" s="37"/>
      <c r="I4" s="37"/>
      <c r="J4" s="37"/>
      <c r="K4" s="37"/>
      <c r="L4" s="37"/>
      <c r="M4" s="37"/>
    </row>
    <row r="5" spans="1:14" x14ac:dyDescent="0.4">
      <c r="A5" s="39">
        <v>20996</v>
      </c>
      <c r="B5" s="38" t="s">
        <v>8</v>
      </c>
      <c r="C5" s="38" t="s">
        <v>26</v>
      </c>
      <c r="D5" s="41" t="s">
        <v>110</v>
      </c>
      <c r="E5" s="38" t="s">
        <v>45</v>
      </c>
      <c r="F5" s="37"/>
      <c r="G5" s="37"/>
      <c r="H5" s="37"/>
      <c r="I5" s="37"/>
      <c r="J5" s="37"/>
      <c r="K5" s="37"/>
      <c r="L5" s="37"/>
      <c r="M5" s="37"/>
    </row>
    <row r="6" spans="1:14" x14ac:dyDescent="0.4">
      <c r="A6" s="39">
        <v>10666</v>
      </c>
      <c r="B6" s="38" t="s">
        <v>10</v>
      </c>
      <c r="C6" s="38" t="s">
        <v>27</v>
      </c>
      <c r="D6" s="41" t="s">
        <v>111</v>
      </c>
      <c r="E6" s="38" t="s">
        <v>46</v>
      </c>
      <c r="F6" s="37"/>
      <c r="G6" s="37"/>
      <c r="H6" s="37"/>
      <c r="I6" s="37"/>
      <c r="J6" s="37"/>
      <c r="K6" s="37"/>
      <c r="L6" s="37"/>
      <c r="M6" s="37"/>
    </row>
    <row r="7" spans="1:14" x14ac:dyDescent="0.4">
      <c r="A7" s="39">
        <v>28868</v>
      </c>
      <c r="B7" s="38" t="s">
        <v>21</v>
      </c>
      <c r="C7" s="38" t="s">
        <v>28</v>
      </c>
      <c r="D7" s="41" t="s">
        <v>112</v>
      </c>
      <c r="E7" s="38" t="s">
        <v>47</v>
      </c>
      <c r="F7" s="37"/>
      <c r="G7" s="37"/>
      <c r="H7" s="37"/>
      <c r="I7" s="37"/>
      <c r="J7" s="37"/>
      <c r="K7" s="37"/>
      <c r="L7" s="37"/>
      <c r="M7" s="37"/>
    </row>
    <row r="8" spans="1:14" x14ac:dyDescent="0.4">
      <c r="A8" s="39">
        <v>24652</v>
      </c>
      <c r="B8" s="38" t="s">
        <v>11</v>
      </c>
      <c r="C8" s="38" t="s">
        <v>29</v>
      </c>
      <c r="D8" s="41" t="s">
        <v>113</v>
      </c>
      <c r="E8" s="38" t="s">
        <v>48</v>
      </c>
      <c r="F8" s="37"/>
      <c r="G8" s="37"/>
      <c r="H8" s="37"/>
      <c r="I8" s="37"/>
      <c r="J8" s="37"/>
      <c r="K8" s="37"/>
      <c r="L8" s="37"/>
      <c r="M8" s="37"/>
    </row>
    <row r="9" spans="1:14" x14ac:dyDescent="0.4">
      <c r="A9" s="39">
        <v>31946</v>
      </c>
      <c r="B9" s="38" t="s">
        <v>12</v>
      </c>
      <c r="C9" s="38" t="s">
        <v>30</v>
      </c>
      <c r="D9" s="41" t="s">
        <v>114</v>
      </c>
      <c r="E9" s="38" t="s">
        <v>49</v>
      </c>
      <c r="F9" s="37"/>
      <c r="G9" s="37"/>
      <c r="H9" s="37"/>
      <c r="I9" s="37"/>
      <c r="J9" s="37"/>
      <c r="K9" s="37"/>
      <c r="L9" s="37"/>
      <c r="M9" s="37"/>
    </row>
    <row r="10" spans="1:14" x14ac:dyDescent="0.4">
      <c r="A10" s="39">
        <v>1542</v>
      </c>
      <c r="B10" s="38" t="s">
        <v>13</v>
      </c>
      <c r="C10" s="38" t="s">
        <v>31</v>
      </c>
      <c r="D10" s="41" t="s">
        <v>115</v>
      </c>
      <c r="E10" s="38" t="s">
        <v>50</v>
      </c>
      <c r="F10" s="37"/>
      <c r="G10" s="37"/>
      <c r="H10" s="37"/>
      <c r="I10" s="37"/>
      <c r="J10" s="37"/>
      <c r="K10" s="37"/>
      <c r="L10" s="37"/>
      <c r="M10" s="37"/>
    </row>
    <row r="11" spans="1:14" x14ac:dyDescent="0.4">
      <c r="A11" s="39">
        <v>49523</v>
      </c>
      <c r="B11" s="38" t="s">
        <v>14</v>
      </c>
      <c r="C11" s="38" t="s">
        <v>32</v>
      </c>
      <c r="D11" s="41" t="s">
        <v>116</v>
      </c>
      <c r="E11" s="38" t="s">
        <v>51</v>
      </c>
      <c r="F11" s="37"/>
      <c r="G11" s="37"/>
      <c r="H11" s="37"/>
      <c r="I11" s="37"/>
      <c r="J11" s="37"/>
      <c r="K11" s="37"/>
      <c r="L11" s="37"/>
      <c r="M11" s="37"/>
    </row>
    <row r="12" spans="1:14" x14ac:dyDescent="0.4">
      <c r="A12" s="39">
        <v>19885</v>
      </c>
      <c r="B12" s="38" t="s">
        <v>15</v>
      </c>
      <c r="C12" s="38" t="s">
        <v>33</v>
      </c>
      <c r="D12" s="41" t="s">
        <v>117</v>
      </c>
      <c r="E12" s="38" t="s">
        <v>52</v>
      </c>
      <c r="F12" s="37"/>
      <c r="G12" s="37"/>
      <c r="H12" s="37"/>
      <c r="I12" s="37"/>
      <c r="J12" s="37"/>
      <c r="K12" s="37"/>
      <c r="L12" s="37"/>
      <c r="M12" s="37"/>
    </row>
    <row r="13" spans="1:14" x14ac:dyDescent="0.4">
      <c r="A13" s="39">
        <v>41793</v>
      </c>
      <c r="B13" s="38" t="s">
        <v>16</v>
      </c>
      <c r="C13" s="38" t="s">
        <v>34</v>
      </c>
      <c r="D13" s="41" t="s">
        <v>118</v>
      </c>
      <c r="E13" s="38" t="s">
        <v>53</v>
      </c>
      <c r="F13" s="37"/>
      <c r="G13" s="37"/>
      <c r="H13" s="37"/>
      <c r="I13" s="37"/>
      <c r="J13" s="37"/>
      <c r="K13" s="37"/>
      <c r="L13" s="37"/>
      <c r="M13" s="37"/>
    </row>
    <row r="14" spans="1:14" x14ac:dyDescent="0.4">
      <c r="A14" s="39">
        <v>42066</v>
      </c>
      <c r="B14" s="38" t="s">
        <v>4</v>
      </c>
      <c r="C14" s="38" t="s">
        <v>35</v>
      </c>
      <c r="D14" s="41" t="s">
        <v>119</v>
      </c>
      <c r="E14" s="38" t="s">
        <v>54</v>
      </c>
      <c r="F14" s="37"/>
      <c r="G14" s="37"/>
      <c r="H14" s="37"/>
      <c r="I14" s="37"/>
      <c r="J14" s="37"/>
      <c r="K14" s="37"/>
      <c r="L14" s="37"/>
      <c r="M14" s="37"/>
    </row>
    <row r="15" spans="1:14" x14ac:dyDescent="0.4">
      <c r="A15" s="39">
        <v>2932</v>
      </c>
      <c r="B15" s="38" t="s">
        <v>17</v>
      </c>
      <c r="C15" s="38" t="s">
        <v>36</v>
      </c>
      <c r="D15" s="41" t="s">
        <v>120</v>
      </c>
      <c r="E15" s="38" t="s">
        <v>55</v>
      </c>
      <c r="F15" s="37"/>
      <c r="G15" s="37"/>
      <c r="H15" s="37"/>
      <c r="I15" s="37"/>
      <c r="J15" s="37"/>
      <c r="K15" s="37"/>
      <c r="L15" s="37"/>
      <c r="M15" s="37"/>
    </row>
    <row r="16" spans="1:14" x14ac:dyDescent="0.4">
      <c r="A16" s="39">
        <v>505</v>
      </c>
      <c r="B16" s="38" t="s">
        <v>22</v>
      </c>
      <c r="C16" s="38" t="s">
        <v>37</v>
      </c>
      <c r="D16" s="41" t="s">
        <v>121</v>
      </c>
      <c r="E16" s="38" t="s">
        <v>56</v>
      </c>
      <c r="F16" s="37"/>
      <c r="G16" s="37"/>
      <c r="H16" s="37"/>
      <c r="I16" s="37"/>
      <c r="J16" s="37"/>
      <c r="K16" s="37"/>
      <c r="L16" s="37"/>
      <c r="M16" s="37"/>
    </row>
    <row r="17" spans="1:11" x14ac:dyDescent="0.4">
      <c r="A17" s="39">
        <v>3036</v>
      </c>
      <c r="B17" s="38" t="s">
        <v>20</v>
      </c>
      <c r="C17" s="38" t="s">
        <v>38</v>
      </c>
      <c r="D17" s="41" t="s">
        <v>122</v>
      </c>
      <c r="E17" s="38" t="s">
        <v>57</v>
      </c>
      <c r="F17" s="37"/>
      <c r="G17" s="37"/>
      <c r="H17" s="37"/>
      <c r="I17" s="37"/>
      <c r="J17" s="37"/>
    </row>
    <row r="18" spans="1:11" x14ac:dyDescent="0.4">
      <c r="A18" s="39">
        <v>46007</v>
      </c>
      <c r="B18" s="38" t="s">
        <v>5</v>
      </c>
      <c r="C18" s="38" t="s">
        <v>39</v>
      </c>
      <c r="D18" s="41" t="s">
        <v>123</v>
      </c>
      <c r="E18" s="38" t="s">
        <v>58</v>
      </c>
      <c r="F18" s="37"/>
      <c r="G18" s="37"/>
      <c r="H18" s="37"/>
      <c r="I18" s="37"/>
      <c r="J18" s="37"/>
    </row>
    <row r="19" spans="1:11" x14ac:dyDescent="0.4">
      <c r="A19" s="39">
        <v>23932</v>
      </c>
      <c r="B19" s="38" t="s">
        <v>19</v>
      </c>
      <c r="C19" s="38" t="s">
        <v>40</v>
      </c>
      <c r="D19" s="41" t="s">
        <v>124</v>
      </c>
      <c r="E19" s="38" t="s">
        <v>59</v>
      </c>
      <c r="F19" s="37"/>
      <c r="G19" s="37"/>
      <c r="H19" s="37"/>
      <c r="I19" s="37"/>
      <c r="J19" s="37"/>
    </row>
    <row r="20" spans="1:11" customFormat="1" x14ac:dyDescent="0.4">
      <c r="A20" s="39">
        <v>38561</v>
      </c>
      <c r="B20" s="39" t="s">
        <v>61</v>
      </c>
      <c r="C20" s="39" t="s">
        <v>62</v>
      </c>
      <c r="D20" s="41" t="s">
        <v>125</v>
      </c>
      <c r="E20" s="39" t="s">
        <v>63</v>
      </c>
      <c r="F20" s="37"/>
      <c r="G20" s="39"/>
      <c r="H20" s="39"/>
      <c r="I20" s="39"/>
      <c r="J20" s="39"/>
      <c r="K20" s="1"/>
    </row>
    <row r="21" spans="1:11" x14ac:dyDescent="0.4">
      <c r="A21" s="39">
        <v>31303</v>
      </c>
      <c r="B21" s="38" t="s">
        <v>18</v>
      </c>
      <c r="C21" s="38" t="s">
        <v>41</v>
      </c>
      <c r="D21" s="41" t="s">
        <v>126</v>
      </c>
      <c r="E21" s="38" t="s">
        <v>60</v>
      </c>
      <c r="F21" s="37"/>
      <c r="G21" s="37"/>
      <c r="H21" s="37"/>
      <c r="I21" s="37"/>
      <c r="J21" s="37"/>
    </row>
    <row r="22" spans="1:11" x14ac:dyDescent="0.4">
      <c r="A22" s="37"/>
      <c r="B22" s="37"/>
      <c r="C22" s="37"/>
      <c r="D22" s="41"/>
      <c r="E22" s="37"/>
      <c r="F22" s="37"/>
      <c r="G22" s="37"/>
      <c r="H22" s="37"/>
      <c r="I22" s="37"/>
      <c r="J22" s="37"/>
    </row>
    <row r="23" spans="1:11" x14ac:dyDescent="0.4">
      <c r="A23" s="37"/>
      <c r="B23" s="37"/>
      <c r="C23" s="37"/>
      <c r="D23" s="41"/>
      <c r="E23" s="37"/>
      <c r="F23" s="37"/>
      <c r="G23" s="37"/>
      <c r="H23" s="37"/>
      <c r="I23" s="37"/>
      <c r="J23" s="37"/>
    </row>
    <row r="24" spans="1:11" x14ac:dyDescent="0.4">
      <c r="A24" s="37"/>
      <c r="B24" s="37"/>
      <c r="C24" s="37"/>
      <c r="D24" s="41"/>
      <c r="E24" s="37"/>
      <c r="F24" s="37"/>
      <c r="G24" s="37"/>
      <c r="H24" s="37"/>
      <c r="I24" s="37"/>
      <c r="J24" s="37"/>
    </row>
    <row r="25" spans="1:11" x14ac:dyDescent="0.4">
      <c r="A25" s="37"/>
      <c r="B25" s="37"/>
      <c r="C25" s="37"/>
      <c r="D25" s="41"/>
      <c r="E25" s="37"/>
      <c r="F25" s="37"/>
      <c r="G25" s="37"/>
      <c r="H25" s="37"/>
      <c r="I25" s="37"/>
      <c r="J25" s="37"/>
    </row>
    <row r="26" spans="1:11" x14ac:dyDescent="0.4">
      <c r="A26" s="37"/>
      <c r="B26" s="37"/>
      <c r="C26" s="37"/>
      <c r="D26" s="41"/>
      <c r="E26" s="37"/>
      <c r="F26" s="37"/>
      <c r="G26" s="37"/>
      <c r="H26" s="37"/>
      <c r="I26" s="37"/>
      <c r="J26" s="37"/>
    </row>
    <row r="27" spans="1:11" x14ac:dyDescent="0.4">
      <c r="A27" s="37"/>
      <c r="B27" s="37"/>
      <c r="C27" s="37"/>
      <c r="D27" s="41"/>
      <c r="E27" s="37"/>
      <c r="F27" s="37"/>
      <c r="G27" s="37"/>
      <c r="H27" s="37"/>
      <c r="I27" s="37"/>
      <c r="J27" s="37"/>
    </row>
    <row r="28" spans="1:11" x14ac:dyDescent="0.4">
      <c r="A28" s="37"/>
      <c r="B28" s="37"/>
      <c r="C28" s="37"/>
      <c r="D28" s="41"/>
      <c r="E28" s="37"/>
      <c r="F28" s="37"/>
      <c r="G28" s="37"/>
      <c r="H28" s="37"/>
      <c r="I28" s="37"/>
      <c r="J28" s="37"/>
    </row>
    <row r="29" spans="1:11" x14ac:dyDescent="0.4">
      <c r="A29" s="37"/>
      <c r="B29" s="37"/>
      <c r="C29" s="37"/>
      <c r="D29" s="41"/>
      <c r="E29" s="37"/>
      <c r="F29" s="37"/>
      <c r="G29" s="37"/>
      <c r="H29" s="37"/>
      <c r="I29" s="37"/>
      <c r="J29" s="37"/>
    </row>
    <row r="30" spans="1:11" x14ac:dyDescent="0.4">
      <c r="A30" s="37"/>
      <c r="B30" s="37"/>
      <c r="C30" s="37"/>
      <c r="D30" s="41"/>
      <c r="E30" s="37"/>
      <c r="F30" s="37"/>
      <c r="G30" s="37"/>
      <c r="H30" s="37"/>
      <c r="I30" s="37"/>
      <c r="J30" s="37"/>
    </row>
    <row r="31" spans="1:11" x14ac:dyDescent="0.4">
      <c r="A31" s="37"/>
      <c r="B31" s="37"/>
      <c r="C31" s="37"/>
      <c r="D31" s="41"/>
      <c r="E31" s="37"/>
      <c r="F31" s="37"/>
      <c r="G31" s="37"/>
      <c r="H31" s="37"/>
      <c r="I31" s="37"/>
      <c r="J31" s="37"/>
    </row>
    <row r="32" spans="1:11" x14ac:dyDescent="0.4">
      <c r="A32" s="37"/>
      <c r="B32" s="37"/>
      <c r="C32" s="37"/>
      <c r="D32" s="41"/>
      <c r="E32" s="37"/>
      <c r="F32" s="37"/>
      <c r="G32" s="37"/>
      <c r="H32" s="37"/>
      <c r="I32" s="37"/>
      <c r="J32" s="37"/>
    </row>
    <row r="33" spans="4:8" x14ac:dyDescent="0.4">
      <c r="D33" s="41"/>
      <c r="E33" s="37"/>
      <c r="F33" s="37"/>
      <c r="G33" s="37"/>
      <c r="H33"/>
    </row>
    <row r="34" spans="4:8" x14ac:dyDescent="0.4">
      <c r="D34" s="41"/>
      <c r="E34" s="37"/>
      <c r="F34" s="37"/>
      <c r="G34" s="37"/>
      <c r="H34"/>
    </row>
    <row r="35" spans="4:8" x14ac:dyDescent="0.4">
      <c r="D35" s="41"/>
      <c r="E35" s="37"/>
      <c r="F35" s="37"/>
      <c r="G35" s="37"/>
      <c r="H35"/>
    </row>
    <row r="36" spans="4:8" x14ac:dyDescent="0.4">
      <c r="D36" s="41"/>
      <c r="E36" s="37"/>
      <c r="F36" s="37"/>
      <c r="G36" s="37"/>
      <c r="H36"/>
    </row>
    <row r="37" spans="4:8" x14ac:dyDescent="0.4">
      <c r="D37" s="41"/>
      <c r="E37" s="37"/>
      <c r="F37" s="37"/>
      <c r="G37" s="37"/>
      <c r="H37"/>
    </row>
    <row r="38" spans="4:8" x14ac:dyDescent="0.4">
      <c r="D38" s="41"/>
      <c r="E38" s="37"/>
      <c r="F38" s="37"/>
      <c r="G38" s="37"/>
      <c r="H38"/>
    </row>
    <row r="39" spans="4:8" x14ac:dyDescent="0.4">
      <c r="D39" s="41"/>
      <c r="E39" s="37"/>
      <c r="F39" s="37"/>
      <c r="G39" s="37"/>
      <c r="H39"/>
    </row>
    <row r="40" spans="4:8" x14ac:dyDescent="0.4">
      <c r="D40" s="41"/>
      <c r="E40" s="37"/>
      <c r="F40" s="37"/>
      <c r="G40" s="37"/>
      <c r="H40"/>
    </row>
    <row r="41" spans="4:8" x14ac:dyDescent="0.4">
      <c r="D41" s="41"/>
      <c r="E41" s="37"/>
      <c r="F41" s="37"/>
      <c r="G41" s="37"/>
      <c r="H41"/>
    </row>
    <row r="42" spans="4:8" x14ac:dyDescent="0.4">
      <c r="D42" s="41"/>
      <c r="E42" s="37"/>
      <c r="F42" s="37"/>
      <c r="G42" s="37"/>
    </row>
    <row r="43" spans="4:8" x14ac:dyDescent="0.4">
      <c r="E43" s="3"/>
    </row>
    <row r="44" spans="4:8" x14ac:dyDescent="0.4">
      <c r="E44" s="3"/>
    </row>
  </sheetData>
  <hyperlinks>
    <hyperlink ref="D2" r:id="rId1" xr:uid="{BB2280CB-71DC-41C1-A202-E1DAADF7DC26}"/>
    <hyperlink ref="D3" r:id="rId2" xr:uid="{ECC02650-7ADC-4869-96D5-FA47B774BC29}"/>
    <hyperlink ref="D4" r:id="rId3" xr:uid="{6BF3243D-ADCE-433D-B858-90C09C156F3E}"/>
    <hyperlink ref="D5" r:id="rId4" xr:uid="{A931CA02-B837-4A8E-8D39-1E4BC5D6EED5}"/>
    <hyperlink ref="D6" r:id="rId5" xr:uid="{7F5EFFAD-DD00-44A6-9EBD-2C385C1DD920}"/>
    <hyperlink ref="D7" r:id="rId6" xr:uid="{BBB11E27-AC92-49DF-9DFF-F69F274A3711}"/>
    <hyperlink ref="D8" r:id="rId7" xr:uid="{C39D50BC-24F9-4129-BC17-4BEACD765C1F}"/>
    <hyperlink ref="D9" r:id="rId8" xr:uid="{FAED06A0-E674-45EA-8E79-72006714DD65}"/>
    <hyperlink ref="D10" r:id="rId9" xr:uid="{B8AE6CEF-E36D-4D56-ABE0-F23F24D4B0F4}"/>
    <hyperlink ref="D11" r:id="rId10" xr:uid="{91FFE055-E471-4432-8C70-CCB58C2E7B95}"/>
    <hyperlink ref="D12" r:id="rId11" xr:uid="{269F3BC0-E2C0-401C-A9F1-AF59AFFB6FA0}"/>
    <hyperlink ref="D13" r:id="rId12" xr:uid="{AEE190C5-1AE6-41A7-9E0C-4D2F486AC06D}"/>
    <hyperlink ref="D14" r:id="rId13" xr:uid="{1E44444A-52F7-4484-B7C4-C52F3C3A4CD1}"/>
    <hyperlink ref="D15" r:id="rId14" xr:uid="{32B58A8A-62F7-44B2-8335-690FD0E6E717}"/>
    <hyperlink ref="D16" r:id="rId15" xr:uid="{45D0882B-6DCD-468F-8A88-519DB5A714E6}"/>
    <hyperlink ref="D17" r:id="rId16" xr:uid="{FE1D9D7E-F2FF-4537-A80D-EAC61BF81524}"/>
    <hyperlink ref="D18" r:id="rId17" xr:uid="{F9C97450-3069-4684-86C4-A2CE87A556B8}"/>
    <hyperlink ref="D19" r:id="rId18" xr:uid="{FE28B817-98D6-4771-BA8A-A75615CEEF5E}"/>
    <hyperlink ref="D20" r:id="rId19" xr:uid="{11D26855-80ED-4F4F-8963-F5F9D2EA1947}"/>
    <hyperlink ref="D21" r:id="rId20" xr:uid="{B9D26159-D499-4220-BBB3-CBA25D4A09E6}"/>
  </hyperlinks>
  <pageMargins left="0.7" right="0.7" top="0.75" bottom="0.75" header="0.3" footer="0.3"/>
  <pageSetup orientation="portrait" r:id="rId2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2" workbookViewId="0">
      <selection activeCell="C16" sqref="C16"/>
    </sheetView>
  </sheetViews>
  <sheetFormatPr defaultRowHeight="14.6" x14ac:dyDescent="0.4"/>
  <cols>
    <col min="1" max="1" width="22.07421875" style="7" hidden="1" customWidth="1"/>
    <col min="2" max="2" width="64.61328125" style="8" customWidth="1"/>
    <col min="3" max="3" width="15.4609375" style="9" customWidth="1"/>
    <col min="4" max="4" width="20.84375" style="10" customWidth="1"/>
    <col min="5" max="5" width="9.23046875" style="11" customWidth="1"/>
    <col min="6" max="6" width="12.3046875" style="11" customWidth="1"/>
    <col min="7" max="7" width="10.3828125" style="11" customWidth="1"/>
    <col min="8" max="8" width="9.23046875" style="11"/>
    <col min="9" max="9" width="9.23046875" style="11" customWidth="1"/>
    <col min="10" max="10" width="23.61328125" style="11" customWidth="1"/>
    <col min="11" max="11" width="18.61328125" style="10" customWidth="1"/>
    <col min="12" max="12" width="23.921875" style="10" customWidth="1"/>
    <col min="13" max="13" width="23.84375" style="10" customWidth="1"/>
    <col min="14" max="14" width="9.23046875" style="11"/>
    <col min="15" max="15" width="21.15234375" style="11" customWidth="1"/>
    <col min="16" max="16384" width="9.23046875" style="11"/>
  </cols>
  <sheetData>
    <row r="1" spans="1:13" hidden="1" x14ac:dyDescent="0.4">
      <c r="A1" s="7" t="s">
        <v>102</v>
      </c>
      <c r="B1" s="8" t="s">
        <v>101</v>
      </c>
      <c r="C1" s="9" t="s">
        <v>103</v>
      </c>
    </row>
    <row r="2" spans="1:13" s="24" customFormat="1" ht="18.45" x14ac:dyDescent="0.5">
      <c r="A2" s="25" t="s">
        <v>96</v>
      </c>
      <c r="B2" s="26" t="s">
        <v>66</v>
      </c>
      <c r="C2" s="54" t="s">
        <v>160</v>
      </c>
      <c r="D2" s="54"/>
      <c r="E2" s="54"/>
      <c r="F2" s="54"/>
      <c r="G2" s="54"/>
      <c r="H2" s="54"/>
      <c r="I2" s="54"/>
      <c r="J2" s="54"/>
      <c r="K2" s="23"/>
      <c r="L2" s="23"/>
      <c r="M2" s="23"/>
    </row>
    <row r="3" spans="1:13" ht="15.9" x14ac:dyDescent="0.4">
      <c r="B3" s="8" t="s">
        <v>74</v>
      </c>
      <c r="C3" s="9">
        <f>COUNTA('Team Information'!A:A) - COUNTA('Team Information'!A1)</f>
        <v>20</v>
      </c>
      <c r="E3" s="51" t="s">
        <v>71</v>
      </c>
      <c r="F3" s="51"/>
      <c r="G3" s="51"/>
      <c r="H3" s="51"/>
      <c r="I3" s="51"/>
      <c r="J3" s="22">
        <f>IF(OR(ISBLANK(C38),C26="N/A"),"N/A",C26+TIME(0,C16-C23,0)+TIME(0,E35,0)+(CEILING(C3/(2*C38),1)+IF(C40&gt;0,FLOOR(C3/(2*C40),1),0))*(TIME(0,SUM(F35:K35),0)))</f>
        <v>0.57499999999999996</v>
      </c>
    </row>
    <row r="6" spans="1:13" x14ac:dyDescent="0.4">
      <c r="A6" s="7" t="s">
        <v>86</v>
      </c>
      <c r="B6" s="8" t="s">
        <v>67</v>
      </c>
      <c r="C6" s="4" t="s">
        <v>68</v>
      </c>
      <c r="D6" s="52" t="s">
        <v>85</v>
      </c>
      <c r="E6" s="53"/>
      <c r="F6" s="53"/>
      <c r="G6" s="53"/>
      <c r="H6" s="53"/>
      <c r="I6" s="53"/>
      <c r="J6" s="53"/>
      <c r="K6" s="53"/>
      <c r="L6" s="53"/>
      <c r="M6" s="11"/>
    </row>
    <row r="7" spans="1:13" x14ac:dyDescent="0.4">
      <c r="A7" s="7" t="s">
        <v>87</v>
      </c>
      <c r="B7" s="8" t="s">
        <v>78</v>
      </c>
      <c r="C7" s="42">
        <v>10</v>
      </c>
      <c r="D7" s="52"/>
      <c r="E7" s="53"/>
      <c r="F7" s="53"/>
      <c r="G7" s="53"/>
      <c r="H7" s="53"/>
      <c r="I7" s="53"/>
      <c r="J7" s="53"/>
      <c r="K7" s="53"/>
      <c r="L7" s="53"/>
      <c r="M7" s="11"/>
    </row>
    <row r="8" spans="1:13" x14ac:dyDescent="0.4">
      <c r="A8" s="7" t="s">
        <v>127</v>
      </c>
      <c r="B8" s="8" t="s">
        <v>134</v>
      </c>
      <c r="C8" s="43">
        <v>0.375</v>
      </c>
      <c r="D8" s="27"/>
      <c r="E8" s="27"/>
      <c r="F8" s="27"/>
      <c r="G8" s="27"/>
      <c r="H8" s="27"/>
      <c r="I8" s="27"/>
      <c r="J8" s="27"/>
      <c r="K8" s="27"/>
      <c r="L8" s="27"/>
      <c r="M8" s="11"/>
    </row>
    <row r="9" spans="1:13" x14ac:dyDescent="0.4">
      <c r="A9" s="7" t="s">
        <v>128</v>
      </c>
      <c r="B9" s="8" t="s">
        <v>133</v>
      </c>
      <c r="C9" s="42">
        <v>15</v>
      </c>
      <c r="D9" s="27"/>
      <c r="E9" s="27"/>
      <c r="F9" s="27"/>
      <c r="G9" s="27"/>
      <c r="H9" s="27"/>
      <c r="I9" s="27"/>
      <c r="J9" s="27"/>
      <c r="K9" s="27"/>
      <c r="L9" s="27"/>
      <c r="M9" s="11"/>
    </row>
    <row r="10" spans="1:13" x14ac:dyDescent="0.4">
      <c r="A10" s="7" t="s">
        <v>132</v>
      </c>
      <c r="B10" s="8" t="s">
        <v>135</v>
      </c>
      <c r="C10" s="42" t="s">
        <v>161</v>
      </c>
      <c r="D10" s="27"/>
      <c r="E10" s="27"/>
      <c r="F10" s="27"/>
      <c r="G10" s="27"/>
      <c r="H10" s="27"/>
      <c r="I10" s="27"/>
      <c r="J10" s="27"/>
      <c r="K10" s="27"/>
      <c r="L10" s="27"/>
      <c r="M10" s="11"/>
    </row>
    <row r="11" spans="1:13" x14ac:dyDescent="0.4">
      <c r="A11" s="7" t="s">
        <v>129</v>
      </c>
      <c r="B11" s="8" t="s">
        <v>131</v>
      </c>
      <c r="C11" s="43">
        <v>0.35416666666666669</v>
      </c>
      <c r="D11" s="27"/>
      <c r="E11" s="27"/>
      <c r="F11" s="27"/>
      <c r="G11" s="27"/>
      <c r="H11" s="27"/>
      <c r="I11" s="27"/>
      <c r="J11" s="27"/>
      <c r="K11" s="27"/>
      <c r="L11" s="27"/>
      <c r="M11" s="11"/>
    </row>
    <row r="12" spans="1:13" x14ac:dyDescent="0.4">
      <c r="A12" s="7" t="s">
        <v>130</v>
      </c>
      <c r="B12" s="8" t="s">
        <v>144</v>
      </c>
      <c r="C12" s="42">
        <v>15</v>
      </c>
      <c r="D12" s="21"/>
      <c r="E12" s="27"/>
      <c r="F12" s="27"/>
      <c r="G12" s="27"/>
      <c r="H12" s="27"/>
      <c r="I12" s="27"/>
      <c r="J12" s="27"/>
      <c r="K12" s="27"/>
      <c r="L12" s="27"/>
      <c r="M12" s="11"/>
    </row>
    <row r="13" spans="1:13" x14ac:dyDescent="0.4">
      <c r="A13" s="7" t="s">
        <v>136</v>
      </c>
      <c r="B13" s="8" t="s">
        <v>137</v>
      </c>
      <c r="C13" s="42" t="s">
        <v>162</v>
      </c>
      <c r="D13" s="21"/>
      <c r="E13" s="27"/>
      <c r="F13" s="27"/>
      <c r="G13" s="27"/>
      <c r="H13" s="27"/>
      <c r="I13" s="27"/>
      <c r="J13" s="27"/>
      <c r="K13" s="27"/>
      <c r="L13" s="27"/>
      <c r="M13" s="11"/>
    </row>
    <row r="14" spans="1:13" x14ac:dyDescent="0.4">
      <c r="A14" s="7" t="s">
        <v>147</v>
      </c>
      <c r="B14" s="8" t="s">
        <v>153</v>
      </c>
      <c r="C14" s="43">
        <v>0.45833333333333331</v>
      </c>
      <c r="D14" s="21"/>
      <c r="E14" s="27"/>
      <c r="F14" s="27"/>
      <c r="G14" s="27"/>
      <c r="H14" s="27"/>
      <c r="I14" s="27"/>
      <c r="J14" s="27"/>
      <c r="K14" s="27"/>
      <c r="L14" s="27"/>
      <c r="M14" s="11"/>
    </row>
    <row r="15" spans="1:13" x14ac:dyDescent="0.4">
      <c r="A15" s="7" t="s">
        <v>148</v>
      </c>
      <c r="B15" s="8" t="s">
        <v>154</v>
      </c>
      <c r="C15" s="43">
        <v>0.54166666666666663</v>
      </c>
      <c r="D15" s="21"/>
      <c r="E15" s="27"/>
      <c r="F15" s="27"/>
      <c r="G15" s="27"/>
      <c r="H15" s="27"/>
      <c r="I15" s="27"/>
      <c r="J15" s="27"/>
      <c r="K15" s="27"/>
      <c r="L15" s="27"/>
      <c r="M15" s="11"/>
    </row>
    <row r="16" spans="1:13" x14ac:dyDescent="0.4">
      <c r="A16" s="7" t="s">
        <v>145</v>
      </c>
      <c r="B16" s="8" t="s">
        <v>155</v>
      </c>
      <c r="C16" s="44">
        <v>30</v>
      </c>
      <c r="D16" s="21"/>
      <c r="E16" s="27"/>
      <c r="F16" s="27"/>
      <c r="G16" s="27"/>
      <c r="H16" s="27"/>
      <c r="I16" s="27"/>
      <c r="J16" s="27"/>
      <c r="K16" s="27"/>
      <c r="L16" s="27"/>
      <c r="M16" s="11"/>
    </row>
    <row r="17" spans="1:13" x14ac:dyDescent="0.4">
      <c r="A17" s="7" t="s">
        <v>141</v>
      </c>
      <c r="B17" s="12"/>
      <c r="H17" s="34"/>
      <c r="J17" s="34"/>
    </row>
    <row r="18" spans="1:13" x14ac:dyDescent="0.4">
      <c r="A18" s="7" t="s">
        <v>142</v>
      </c>
      <c r="B18" s="12" t="s">
        <v>72</v>
      </c>
      <c r="D18" s="14" t="s">
        <v>69</v>
      </c>
    </row>
    <row r="19" spans="1:13" x14ac:dyDescent="0.4">
      <c r="A19" s="7" t="s">
        <v>100</v>
      </c>
      <c r="B19" s="8" t="s">
        <v>80</v>
      </c>
      <c r="C19" s="46">
        <v>0.39583333333333331</v>
      </c>
      <c r="D19" s="18">
        <f>MAX(C8+TIME(0, C9, 0), C11 + TIME(0, C12, 0)) + TIME(0, C7, 0)</f>
        <v>0.3923611111111111</v>
      </c>
      <c r="E19" s="19"/>
    </row>
    <row r="20" spans="1:13" x14ac:dyDescent="0.4">
      <c r="A20" s="7" t="s">
        <v>88</v>
      </c>
      <c r="B20" s="8" t="s">
        <v>77</v>
      </c>
      <c r="C20" s="45">
        <v>2</v>
      </c>
      <c r="D20" s="20">
        <f>CEILING(C3/12, 1)</f>
        <v>2</v>
      </c>
      <c r="E20" s="17"/>
    </row>
    <row r="21" spans="1:13" x14ac:dyDescent="0.4">
      <c r="A21" s="7" t="s">
        <v>89</v>
      </c>
      <c r="B21" s="8" t="s">
        <v>75</v>
      </c>
      <c r="C21" s="47" t="s">
        <v>142</v>
      </c>
      <c r="D21" s="20" t="str">
        <f>IF(COUNTIF('Team Information'!$1:$1, "Division") &gt; 0, "Disabled with divisions", IF(OR(MOD(C3, 2), C20 &gt; 2), "Yes", "No"))</f>
        <v>No</v>
      </c>
      <c r="E21" s="17"/>
    </row>
    <row r="22" spans="1:13" x14ac:dyDescent="0.4">
      <c r="A22" s="7" t="s">
        <v>143</v>
      </c>
      <c r="B22" s="8" t="s">
        <v>82</v>
      </c>
      <c r="C22" s="16">
        <f>IF(ISBLANK(C20), "N/A", IF(C21="Yes",1+_xlfn.CEILING.MATH((C3-1)/C20), _xlfn.CEILING.MATH(C3/C20)))</f>
        <v>10</v>
      </c>
      <c r="D22" s="10" t="s">
        <v>83</v>
      </c>
      <c r="E22" s="17"/>
      <c r="F22" s="9"/>
      <c r="J22" s="35"/>
    </row>
    <row r="23" spans="1:13" x14ac:dyDescent="0.4">
      <c r="A23" s="7" t="s">
        <v>90</v>
      </c>
      <c r="B23" s="8" t="s">
        <v>76</v>
      </c>
      <c r="C23" s="48">
        <v>20</v>
      </c>
      <c r="D23" s="10">
        <v>17.5</v>
      </c>
      <c r="E23" s="15"/>
    </row>
    <row r="24" spans="1:13" x14ac:dyDescent="0.4">
      <c r="A24" s="7" t="s">
        <v>91</v>
      </c>
      <c r="B24" s="8" t="s">
        <v>156</v>
      </c>
      <c r="C24" s="48">
        <v>3</v>
      </c>
      <c r="D24" s="10">
        <v>3</v>
      </c>
    </row>
    <row r="25" spans="1:13" x14ac:dyDescent="0.4">
      <c r="A25" s="7" t="s">
        <v>92</v>
      </c>
      <c r="B25" s="8" t="s">
        <v>79</v>
      </c>
      <c r="C25" s="48">
        <v>0</v>
      </c>
      <c r="D25" s="10">
        <f>IF(OR(C24 = 0, ISBLANK(C24), ISBLANK(C23)), "", MAX(C24*(20 - C23), 0))</f>
        <v>0</v>
      </c>
    </row>
    <row r="26" spans="1:13" x14ac:dyDescent="0.4">
      <c r="A26" s="36">
        <f>MAX(C19:D19) + C22*TIME(0, C23, 0) + IF(C24 &gt; 0, TIME(0, C25, 0)*FLOOR((C22 - IF(C21="Yes", 3, 2))/C24, 1), 0)</f>
        <v>0.53472222222222221</v>
      </c>
      <c r="B26" s="8" t="s">
        <v>81</v>
      </c>
      <c r="C26" s="13">
        <f>IF(COUNTBLANK(C15:C25) &gt; 2, "N/A", A26 + IF(A26&gt;C15, TIME(0, MAX(0, C16 - C25), 0), 0))</f>
        <v>0.53472222222222221</v>
      </c>
      <c r="K26" s="14"/>
      <c r="L26" s="14"/>
      <c r="M26" s="14"/>
    </row>
    <row r="27" spans="1:13" x14ac:dyDescent="0.4">
      <c r="C27" s="13"/>
      <c r="K27" s="14"/>
      <c r="L27" s="14"/>
      <c r="M27" s="14"/>
    </row>
    <row r="28" spans="1:13" s="31" customFormat="1" x14ac:dyDescent="0.4">
      <c r="A28" s="33" t="s">
        <v>97</v>
      </c>
      <c r="B28" s="30" t="s">
        <v>64</v>
      </c>
      <c r="C28" s="49" t="s">
        <v>163</v>
      </c>
      <c r="D28" s="50" t="s">
        <v>164</v>
      </c>
      <c r="K28" s="32"/>
      <c r="L28" s="32"/>
      <c r="M28" s="32"/>
    </row>
    <row r="29" spans="1:13" s="31" customFormat="1" x14ac:dyDescent="0.4">
      <c r="A29" s="33" t="s">
        <v>98</v>
      </c>
      <c r="B29" s="30" t="s">
        <v>65</v>
      </c>
      <c r="C29" s="49" t="s">
        <v>165</v>
      </c>
      <c r="D29" s="50" t="s">
        <v>166</v>
      </c>
      <c r="K29" s="32"/>
      <c r="L29" s="32"/>
      <c r="M29" s="32"/>
    </row>
    <row r="30" spans="1:13" s="31" customFormat="1" x14ac:dyDescent="0.4">
      <c r="A30" s="33" t="s">
        <v>99</v>
      </c>
      <c r="B30" s="30" t="s">
        <v>70</v>
      </c>
      <c r="C30" s="49" t="s">
        <v>167</v>
      </c>
      <c r="D30" s="50" t="s">
        <v>168</v>
      </c>
      <c r="K30" s="32"/>
      <c r="L30" s="32"/>
      <c r="M30" s="32"/>
    </row>
    <row r="31" spans="1:13" s="9" customFormat="1" x14ac:dyDescent="0.4">
      <c r="A31" s="7"/>
      <c r="B31" s="8"/>
      <c r="D31" s="10"/>
      <c r="K31" s="10"/>
      <c r="L31" s="10"/>
      <c r="M31" s="10"/>
    </row>
    <row r="32" spans="1:13" x14ac:dyDescent="0.4">
      <c r="B32" s="12" t="s">
        <v>73</v>
      </c>
      <c r="I32" s="8"/>
      <c r="J32" s="9"/>
    </row>
    <row r="33" spans="1:13" s="31" customFormat="1" ht="15.45" customHeight="1" x14ac:dyDescent="0.4">
      <c r="A33" s="33" t="s">
        <v>94</v>
      </c>
      <c r="B33" s="30" t="s">
        <v>146</v>
      </c>
      <c r="C33" s="31" t="s">
        <v>158</v>
      </c>
      <c r="D33" s="32" t="s">
        <v>169</v>
      </c>
      <c r="E33" s="31" t="s">
        <v>170</v>
      </c>
      <c r="F33" s="31" t="s">
        <v>171</v>
      </c>
      <c r="K33" s="32"/>
      <c r="L33" s="32"/>
      <c r="M33" s="32"/>
    </row>
    <row r="34" spans="1:13" s="31" customFormat="1" ht="15.45" customHeight="1" x14ac:dyDescent="0.4">
      <c r="A34" s="33" t="s">
        <v>176</v>
      </c>
      <c r="B34" s="30" t="s">
        <v>159</v>
      </c>
      <c r="D34" s="32"/>
      <c r="K34" s="32"/>
      <c r="L34" s="32"/>
      <c r="M34" s="32"/>
    </row>
    <row r="35" spans="1:13" s="5" customFormat="1" x14ac:dyDescent="0.4">
      <c r="A35" s="7" t="s">
        <v>95</v>
      </c>
      <c r="B35" s="8" t="s">
        <v>138</v>
      </c>
      <c r="C35" s="5">
        <v>10</v>
      </c>
      <c r="D35" s="5">
        <v>10</v>
      </c>
      <c r="E35" s="5">
        <v>8</v>
      </c>
      <c r="F35" s="5">
        <v>8</v>
      </c>
      <c r="K35" s="6"/>
      <c r="L35" s="6"/>
      <c r="M35" s="6"/>
    </row>
    <row r="36" spans="1:13" s="9" customFormat="1" x14ac:dyDescent="0.4">
      <c r="A36" s="7"/>
      <c r="B36" s="8" t="s">
        <v>139</v>
      </c>
      <c r="C36" s="9">
        <f>IF(ISBLANK(C33), "", 10)</f>
        <v>10</v>
      </c>
      <c r="D36" s="9">
        <f>IF(OR(ISBLANK(D33), ISBLANK(C36)), "", 10)</f>
        <v>10</v>
      </c>
      <c r="E36" s="9">
        <f t="shared" ref="E36:L36" si="0">IF(OR(ISBLANK(E33), ISBLANK(D36)), "", 8)</f>
        <v>8</v>
      </c>
      <c r="F36" s="9">
        <f t="shared" si="0"/>
        <v>8</v>
      </c>
      <c r="G36" s="9" t="str">
        <f t="shared" si="0"/>
        <v/>
      </c>
      <c r="H36" s="9" t="str">
        <f t="shared" si="0"/>
        <v/>
      </c>
      <c r="I36" s="9" t="str">
        <f t="shared" si="0"/>
        <v/>
      </c>
      <c r="J36" s="9" t="str">
        <f t="shared" si="0"/>
        <v/>
      </c>
      <c r="K36" s="9" t="str">
        <f t="shared" si="0"/>
        <v/>
      </c>
      <c r="L36" s="9" t="str">
        <f t="shared" si="0"/>
        <v/>
      </c>
      <c r="M36" s="10"/>
    </row>
    <row r="37" spans="1:13" s="9" customFormat="1" x14ac:dyDescent="0.4">
      <c r="A37" s="7"/>
      <c r="B37" s="8"/>
      <c r="M37" s="10"/>
    </row>
    <row r="38" spans="1:13" x14ac:dyDescent="0.4">
      <c r="A38" s="7" t="s">
        <v>93</v>
      </c>
      <c r="B38" s="8" t="s">
        <v>84</v>
      </c>
      <c r="C38" s="4">
        <v>2</v>
      </c>
      <c r="D38" s="10">
        <f>IF(OR(ISBLANK(C20), COUNTBLANK(C23:C25) &gt; 0), "N/A", CEILING(3/2*C20*C35/(C23+C25/C24), 1))</f>
        <v>2</v>
      </c>
    </row>
    <row r="39" spans="1:13" x14ac:dyDescent="0.4">
      <c r="A39" s="7" t="s">
        <v>149</v>
      </c>
      <c r="B39" s="8" t="s">
        <v>150</v>
      </c>
      <c r="C39" s="29" t="s">
        <v>141</v>
      </c>
    </row>
    <row r="40" spans="1:13" x14ac:dyDescent="0.4">
      <c r="A40" s="7" t="s">
        <v>152</v>
      </c>
      <c r="B40" s="8" t="s">
        <v>157</v>
      </c>
      <c r="C40" s="28">
        <v>0</v>
      </c>
    </row>
    <row r="41" spans="1:13" s="32" customFormat="1" x14ac:dyDescent="0.4">
      <c r="A41" s="33" t="s">
        <v>105</v>
      </c>
      <c r="B41" s="30" t="s">
        <v>104</v>
      </c>
      <c r="C41" s="32" t="s">
        <v>172</v>
      </c>
      <c r="D41" s="32" t="s">
        <v>174</v>
      </c>
    </row>
    <row r="42" spans="1:13" s="32" customFormat="1" x14ac:dyDescent="0.4">
      <c r="A42" s="33" t="s">
        <v>140</v>
      </c>
      <c r="B42" s="30" t="s">
        <v>151</v>
      </c>
      <c r="C42" s="32" t="s">
        <v>173</v>
      </c>
      <c r="D42" s="32" t="s">
        <v>175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2019-05-19T19:45:36Z</dcterms:modified>
</cp:coreProperties>
</file>