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13_ncr:1_{947B8A5C-15E5-48A4-A1B4-735AAD474164}" xr6:coauthVersionLast="43" xr6:coauthVersionMax="43" xr10:uidLastSave="{00000000-0000-0000-0000-000000000000}"/>
  <bookViews>
    <workbookView xWindow="6429" yWindow="4423" windowWidth="19285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<sst xmlns="http://schemas.openxmlformats.org/spreadsheetml/2006/main" count="177" uniqueCount="175">
  <si>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</si>
  <si>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</si>
  <si>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</si>
  <si>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</si>
  <si>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</si>
  <si>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</si>
  <si>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</si>
  <si>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</si>
  <si>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</si>
  <si>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</si>
  <si>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</si>
  <si>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</si>
  <si>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</si>
  <si>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</si>
  <si>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</si>
  <si>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</si>
  <si>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</si>
  <si>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</si>
  <si>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</si>
  <si>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</si>
  <si>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</si>
  <si>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</si>
  <si>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</si>
  <si>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</si>
  <si>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</si>
  <si>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</si>
  <si>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</si>
  <si>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</si>
  <si>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</si>
  <si>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</si>
  <si>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</si>
  <si>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</si>
  <si>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</si>
  <si>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</si>
  <si>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</si>
  <si>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</si>
  <si>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</si>
  <si>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</si>
  <si>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</si>
  <si>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</si>
  <si>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</si>
  <si>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</si>
  <si>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</si>
  <si>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</si>
  <si>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</si>
  <si>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</si>
  <si>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</si>
  <si>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</si>
  <si>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</si>
  <si>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</si>
  <si>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</si>
  <si>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</si>
  <si>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</si>
  <si>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</si>
  <si>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</si>
  <si>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</si>
  <si>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</si>
  <si>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</si>
  <si>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</si>
  <si>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</si>
  <si>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</si>
  <si>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</si>
  <si>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</si>
  <si>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</si>
  <si>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</si>
  <si>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</si>
  <si>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</si>
  <si>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</si>
  <si>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</si>
  <si>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</si>
  <si>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</si>
  <si>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</si>
  <si>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</si>
  <si>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</si>
  <si>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</si>
  <si>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</si>
  <si>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</si>
  <si>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</si>
  <si>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</si>
  <si>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</si>
  <si>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</si>
  <si>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</si>
  <si>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</si>
  <si>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</si>
  <si>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</si>
  <si>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</si>
  <si>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</si>
  <si>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</si>
  <si>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</si>
  <si>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</si>
  <si>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</si>
  <si>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</si>
  <si>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</si>
  <si>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</si>
  <si>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</si>
  <si>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</si>
  <si>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</si>
  <si>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</si>
  <si>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</si>
  <si>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</si>
  <si>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</si>
  <si>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</si>
  <si>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</si>
  <si>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</si>
  <si>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</si>
  <si>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</si>
  <si>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</si>
  <si>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</si>
  <si>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</si>
  <si>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</si>
  <si>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</si>
  <si>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</si>
  <si>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</si>
  <si>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</si>
  <si>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</si>
  <si>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</si>
  <si>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</si>
  <si>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</si>
  <si>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</si>
  <si>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</si>
  <si>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</si>
  <si>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</si>
  <si>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</si>
  <si>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</si>
  <si>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</si>
  <si>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</si>
  <si>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</si>
  <si>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</si>
  <si>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</si>
  <si>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</si>
  <si>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</si>
  <si>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</si>
  <si>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</si>
  <si>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</si>
  <si>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</si>
  <si>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</si>
  <si>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</si>
  <si>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</si>
  <si>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</si>
  <si>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</si>
  <si>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</si>
  <si>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</si>
  <si>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</si>
  <si>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</si>
  <si>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</si>
  <si>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</si>
  <si>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</si>
  <si>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</si>
  <si>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</si>
  <si>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</si>
  <si>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</si>
  <si>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</si>
  <si>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</si>
  <si>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</si>
  <si>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</si>
  <si>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</si>
  <si>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</si>
  <si>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</si>
  <si>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Gym</t>
  </si>
  <si>
    <t>Registration</t>
  </si>
  <si>
    <t>PR 1</t>
  </si>
  <si>
    <t>PR2</t>
  </si>
  <si>
    <t>RD 1</t>
  </si>
  <si>
    <t>RD 2</t>
  </si>
  <si>
    <t>CV 1</t>
  </si>
  <si>
    <t>CV 2</t>
  </si>
  <si>
    <t>Practice</t>
  </si>
  <si>
    <t>1</t>
  </si>
  <si>
    <t>2</t>
  </si>
  <si>
    <t>3</t>
  </si>
  <si>
    <t>Red</t>
  </si>
  <si>
    <t>Green</t>
  </si>
  <si>
    <t>Purple</t>
  </si>
  <si>
    <t>White</t>
  </si>
  <si>
    <t>Newport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</si>
</sst>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2"/>
  <sheetViews>
    <sheetView workbookViewId="0">
      <selection sqref="A1:XFD1048576"/>
    </sheetView>
  </sheetViews>
  <sheetFormatPr defaultColWidth="9.3046875" defaultRowHeight="14.6" x14ac:dyDescent="0.4"/>
  <cols>
    <col min="1" max="1" width="16.84375" style="2" customWidth="1"/>
    <col min="2" max="2" width="33" style="2" customWidth="1"/>
    <col min="3" max="3" width="20.69140625" style="2" customWidth="1"/>
    <col min="4" max="4" width="31.53515625" style="2" customWidth="1"/>
    <col min="5" max="5" width="18.3046875" style="2" customWidth="1"/>
    <col min="6" max="6" width="9.3046875" style="2"/>
    <col min="7" max="7" width="19.53515625" style="2" bestFit="1" customWidth="1"/>
    <col min="8" max="8" width="10.84375" style="2" customWidth="1"/>
    <col min="9" max="9" width="11" style="2" customWidth="1"/>
    <col min="10" max="10" width="9.3046875" style="2" customWidth="1"/>
    <col min="11" max="11" width="21.84375" style="2" customWidth="1"/>
    <col min="12" max="12" width="26.3828125" style="2" customWidth="1"/>
    <col min="13" max="13" width="28.69140625" style="2" customWidth="1"/>
    <col min="14" max="16384" width="9.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D22" s="4"/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</sheetData>
  <hyperlinks>
    <hyperlink ref="D2" r:id="rId1" xr:uid="{BB2280CB-71DC-41C1-A202-E1DAADF7DC26}"/>
    <hyperlink ref="D3" r:id="rId2" xr:uid="{ECC02650-7ADC-4869-96D5-FA47B774BC29}"/>
    <hyperlink ref="D4" r:id="rId3" xr:uid="{6BF3243D-ADCE-433D-B858-90C09C156F3E}"/>
    <hyperlink ref="D5" r:id="rId4" xr:uid="{A931CA02-B837-4A8E-8D39-1E4BC5D6EED5}"/>
    <hyperlink ref="D6" r:id="rId5" xr:uid="{7F5EFFAD-DD00-44A6-9EBD-2C385C1DD920}"/>
    <hyperlink ref="D7" r:id="rId6" xr:uid="{BBB11E27-AC92-49DF-9DFF-F69F274A3711}"/>
    <hyperlink ref="D8" r:id="rId7" xr:uid="{C39D50BC-24F9-4129-BC17-4BEACD765C1F}"/>
    <hyperlink ref="D9" r:id="rId8" xr:uid="{FAED06A0-E674-45EA-8E79-72006714DD65}"/>
    <hyperlink ref="D10" r:id="rId9" xr:uid="{B8AE6CEF-E36D-4D56-ABE0-F23F24D4B0F4}"/>
    <hyperlink ref="D11" r:id="rId10" xr:uid="{91FFE055-E471-4432-8C70-CCB58C2E7B95}"/>
    <hyperlink ref="D12" r:id="rId11" xr:uid="{269F3BC0-E2C0-401C-A9F1-AF59AFFB6FA0}"/>
    <hyperlink ref="D13" r:id="rId12" xr:uid="{AEE190C5-1AE6-41A7-9E0C-4D2F486AC06D}"/>
    <hyperlink ref="D14" r:id="rId13" xr:uid="{1E44444A-52F7-4484-B7C4-C52F3C3A4CD1}"/>
    <hyperlink ref="D15" r:id="rId14" xr:uid="{32B58A8A-62F7-44B2-8335-690FD0E6E717}"/>
    <hyperlink ref="D16" r:id="rId15" xr:uid="{45D0882B-6DCD-468F-8A88-519DB5A714E6}"/>
    <hyperlink ref="D17" r:id="rId16" xr:uid="{FE1D9D7E-F2FF-4537-A80D-EAC61BF81524}"/>
    <hyperlink ref="D18" r:id="rId17" xr:uid="{F9C97450-3069-4684-86C4-A2CE87A556B8}"/>
    <hyperlink ref="D19" r:id="rId18" xr:uid="{FE28B817-98D6-4771-BA8A-A75615CEEF5E}"/>
    <hyperlink ref="D20" r:id="rId19" xr:uid="{11D26855-80ED-4F4F-8963-F5F9D2EA1947}"/>
    <hyperlink ref="D21" r:id="rId20" xr:uid="{B9D26159-D499-4220-BBB3-CBA25D4A09E6}"/>
  </hyperlinks>
  <pageMargins left="0.7" right="0.7" top="0.75" bottom="0.75" header="0.3" footer="0.3"/>
  <pageSetup orientation="portrait" r:id="rId2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17" workbookViewId="0">
      <selection activeCell="C24" sqref="C24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174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20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0.57499999999999996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5">
        <v>10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5">
        <v>15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5" t="s">
        <v>158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144</v>
      </c>
      <c r="C12" s="5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5" t="s">
        <v>159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147</v>
      </c>
      <c r="B14" s="10" t="s">
        <v>153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148</v>
      </c>
      <c r="B15" s="10" t="s">
        <v>154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145</v>
      </c>
      <c r="B16" s="10" t="s">
        <v>155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141</v>
      </c>
      <c r="B17" s="14"/>
      <c r="H17" s="36"/>
      <c r="J17" s="36"/>
    </row>
    <row r="18" spans="1:13" x14ac:dyDescent="0.4">
      <c r="A18" s="9" t="s">
        <v>142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0.39583333333333331</v>
      </c>
      <c r="D19" s="20">
        <f>MAX(C8+TIME(0, C9, 0), C11 + TIME(0, C12, 0)) + TIME(0, C7, 0)</f>
        <v>0.3923611111111111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142</v>
      </c>
      <c r="D21" s="22" t="str">
        <f>IF(COUNTIF('Team Information'!$1:$1, "Division") &gt; 0, "Disabled with divisions", IF(OR(MOD(C3, 2), C20 &gt; 2), "Yes", "No"))</f>
        <v>No</v>
      </c>
      <c r="E21" s="19"/>
    </row>
    <row r="22" spans="1:13" x14ac:dyDescent="0.4">
      <c r="A22" s="9" t="s">
        <v>143</v>
      </c>
      <c r="B22" s="10" t="s">
        <v>82</v>
      </c>
      <c r="C22" s="18">
        <f>IF(ISBLANK(C20), "N/A", IF(C21="Yes",1+_xlfn.CEILING.MATH((C3-1)/C20), _xlfn.CEILING.MATH(C3/C20)))</f>
        <v>10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20</v>
      </c>
      <c r="D23" s="12">
        <v>17.5</v>
      </c>
      <c r="E23" s="17"/>
    </row>
    <row r="24" spans="1:13" x14ac:dyDescent="0.4">
      <c r="A24" s="9" t="s">
        <v>91</v>
      </c>
      <c r="B24" s="10" t="s">
        <v>156</v>
      </c>
      <c r="C24" s="5">
        <v>3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0</v>
      </c>
      <c r="D25" s="12">
        <f>IF(OR(C24 = 0, ISBLANK(C24), ISBLANK(C23)), "", MAX(C24*(20 - C23), 0))</f>
        <v>0</v>
      </c>
    </row>
    <row r="26" spans="1:13" x14ac:dyDescent="0.4">
      <c r="A26" s="38">
        <f>MAX(C19:D19) + C22*TIME(0, C23, 0) + IF(C24 &gt; 0, TIME(0, C25, 0)*FLOOR((C22 - IF(C21="Yes", 3, 2))/C24, 1), 0)</f>
        <v>0.53472222222222221</v>
      </c>
      <c r="B26" s="10" t="s">
        <v>81</v>
      </c>
      <c r="C26" s="15">
        <f>IF(COUNTBLANK(C15:C25) &gt; 2, "N/A", A26 + IF(A26&gt;C15, TIME(0, MAX(0, C16 - C25), 0), 0))</f>
        <v>0.53472222222222221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160</v>
      </c>
      <c r="D28" s="34" t="s">
        <v>161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162</v>
      </c>
      <c r="D29" s="34" t="s">
        <v>163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164</v>
      </c>
      <c r="D30" s="34" t="s">
        <v>165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146</v>
      </c>
      <c r="C33" s="33" t="s">
        <v>166</v>
      </c>
      <c r="D33" s="34" t="s">
        <v>167</v>
      </c>
      <c r="E33" s="33" t="s">
        <v>168</v>
      </c>
      <c r="F33" s="33" t="s">
        <v>169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149</v>
      </c>
      <c r="B38" s="10" t="s">
        <v>150</v>
      </c>
      <c r="C38" s="31" t="s">
        <v>141</v>
      </c>
    </row>
    <row r="39" spans="1:13" x14ac:dyDescent="0.4">
      <c r="A39" s="9" t="s">
        <v>152</v>
      </c>
      <c r="B39" s="10" t="s">
        <v>157</v>
      </c>
      <c r="C39" s="30">
        <v>0</v>
      </c>
    </row>
    <row r="40" spans="1:13" s="34" customFormat="1" x14ac:dyDescent="0.4">
      <c r="A40" s="35" t="s">
        <v>105</v>
      </c>
      <c r="B40" s="32" t="s">
        <v>104</v>
      </c>
      <c r="C40" s="34" t="s">
        <v>170</v>
      </c>
      <c r="D40" s="34" t="s">
        <v>172</v>
      </c>
    </row>
    <row r="41" spans="1:13" s="34" customFormat="1" x14ac:dyDescent="0.4">
      <c r="A41" s="35" t="s">
        <v>140</v>
      </c>
      <c r="B41" s="32" t="s">
        <v>151</v>
      </c>
      <c r="C41" s="34" t="s">
        <v>171</v>
      </c>
      <c r="D41" s="34" t="s">
        <v>173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2019-05-07T19:07:52Z</dcterms:modified>
</cp:coreProperties>
</file>