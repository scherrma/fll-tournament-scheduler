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8_{17DBF036-B772-4BD5-8F62-68D375DAEBF1}" xr6:coauthVersionLast="43" xr6:coauthVersionMax="43" xr10:uidLastSave="{00000000-0000-0000-0000-000000000000}"/>
  <bookViews>
    <workbookView xWindow="2983" yWindow="2983" windowWidth="19286" windowHeight="12120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<sst xmlns="http://schemas.openxmlformats.org/spreadsheetml/2006/main" count="181" uniqueCount="179">
  <si>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</si>
  <si>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</si>
  <si>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</si>
  <si>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</si>
  <si>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</si>
  <si>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</si>
  <si>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</si>
  <si>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</si>
  <si>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</si>
  <si>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</si>
  <si>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</si>
  <si>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</si>
  <si>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</si>
  <si>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</si>
  <si>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</si>
  <si>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</si>
  <si>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</si>
  <si>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</si>
  <si>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</si>
  <si>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</si>
  <si>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</si>
  <si>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</si>
  <si>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</si>
  <si>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</si>
  <si>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</si>
  <si>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</si>
  <si>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</si>
  <si>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</si>
  <si>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</si>
  <si>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</si>
  <si>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</si>
  <si>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</si>
  <si>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</si>
  <si>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</si>
  <si>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</si>
  <si>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</si>
  <si>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</si>
  <si>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</si>
  <si>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</si>
  <si>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</si>
  <si>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</si>
  <si>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</si>
  <si>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</si>
  <si>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</si>
  <si>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</si>
  <si>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</si>
  <si>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</si>
  <si>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</si>
  <si>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</si>
  <si>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</si>
  <si>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</si>
  <si>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</si>
  <si>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</si>
  <si>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</si>
  <si>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</si>
  <si>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</si>
  <si>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</si>
  <si>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</si>
  <si>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</si>
  <si>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</si>
  <si>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</si>
  <si>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</si>
  <si>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</si>
  <si>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</si>
  <si>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</si>
  <si>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</si>
  <si>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</si>
  <si>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</si>
  <si>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</si>
  <si>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</si>
  <si>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</si>
  <si>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</si>
  <si>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</si>
  <si>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</si>
  <si>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</si>
  <si>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</si>
  <si>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</si>
  <si>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</si>
  <si>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</si>
  <si>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</si>
  <si>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</si>
  <si>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</si>
  <si>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</si>
  <si>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</si>
  <si>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</si>
  <si>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</si>
  <si>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</si>
  <si>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</si>
  <si>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</si>
  <si>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</si>
  <si>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</si>
  <si>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</si>
  <si>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</si>
  <si>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</si>
  <si>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</si>
  <si>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</si>
  <si>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</si>
  <si>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</si>
  <si>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</si>
  <si>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</si>
  <si>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</si>
  <si>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</si>
  <si>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</si>
  <si>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</si>
  <si>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</si>
  <si>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</si>
  <si>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</si>
  <si>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</si>
  <si>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</si>
  <si>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</si>
  <si>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</si>
  <si>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</si>
  <si>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</si>
  <si>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</si>
  <si>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</si>
  <si>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</si>
  <si>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</si>
  <si>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</si>
  <si>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</si>
  <si>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</si>
  <si>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</si>
  <si>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</si>
  <si>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</si>
  <si>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</si>
  <si>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</si>
  <si>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</si>
  <si>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</si>
  <si>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</si>
  <si>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</si>
  <si>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</si>
  <si>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</si>
  <si>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</si>
  <si>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</si>
  <si>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</si>
  <si>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</si>
  <si>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</si>
  <si>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</si>
  <si>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</si>
  <si>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</si>
  <si>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</si>
  <si>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</si>
  <si>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</si>
  <si>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</si>
  <si>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</si>
  <si>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</si>
  <si>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</si>
  <si>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</si>
  <si>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</si>
  <si>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</si>
  <si>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</si>
  <si>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</si>
  <si>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</si>
  <si>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</si>
  <si>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</si>
  <si>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</si>
  <si>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</si>
  <si>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</si>
  <si>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Division</t>
  </si>
  <si>
    <t>P1</t>
  </si>
  <si>
    <t>P2</t>
  </si>
  <si>
    <t>RD1</t>
  </si>
  <si>
    <t>RD2</t>
  </si>
  <si>
    <t>CV 1</t>
  </si>
  <si>
    <t>CV 2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</si>
  <si>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</si>
  <si>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</si>
  <si>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</si>
  <si>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</si>
  <si>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</si>
  <si>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</si>
  <si>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</si>
  <si>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</si>
  <si>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</si>
  <si>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</si>
  <si>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</si>
  <si>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</si>
  <si>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</si>
  <si>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</si>
  <si>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divisions small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</si>
</sst>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1" sqref="C1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157</v>
      </c>
      <c r="C1" s="3" t="s">
        <v>1</v>
      </c>
      <c r="D1" s="3" t="s">
        <v>2</v>
      </c>
      <c r="E1" s="3" t="s">
        <v>107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108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109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110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111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112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113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114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115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116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117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118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119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120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121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122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123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124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125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126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127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142</v>
      </c>
      <c r="D22" s="2" t="s">
        <v>143</v>
      </c>
      <c r="E22" s="4" t="s">
        <v>144</v>
      </c>
      <c r="F22" s="2" t="s">
        <v>145</v>
      </c>
      <c r="G22"/>
      <c r="H22"/>
    </row>
    <row r="23" spans="1:11" x14ac:dyDescent="0.4">
      <c r="E23" s="4"/>
      <c r="G23"/>
      <c r="H23"/>
    </row>
    <row r="24" spans="1:11" x14ac:dyDescent="0.4">
      <c r="E24" s="4"/>
      <c r="G24"/>
      <c r="H24"/>
    </row>
    <row r="25" spans="1:11" x14ac:dyDescent="0.4">
      <c r="E25" s="4"/>
      <c r="G25"/>
      <c r="H25"/>
    </row>
    <row r="26" spans="1:11" x14ac:dyDescent="0.4">
      <c r="E26" s="4"/>
      <c r="G26"/>
      <c r="H26"/>
    </row>
    <row r="27" spans="1:11" x14ac:dyDescent="0.4">
      <c r="E27" s="4"/>
      <c r="G27"/>
      <c r="H27"/>
    </row>
    <row r="28" spans="1:11" x14ac:dyDescent="0.4">
      <c r="E28" s="4"/>
      <c r="G28"/>
      <c r="H28"/>
    </row>
    <row r="29" spans="1:11" x14ac:dyDescent="0.4">
      <c r="E29" s="4"/>
      <c r="G29"/>
      <c r="H29"/>
    </row>
    <row r="30" spans="1:11" x14ac:dyDescent="0.4">
      <c r="E30" s="4"/>
      <c r="G30"/>
      <c r="H30"/>
    </row>
    <row r="31" spans="1:11" x14ac:dyDescent="0.4">
      <c r="E31" s="4"/>
      <c r="G31"/>
      <c r="H31"/>
    </row>
    <row r="32" spans="1:11" x14ac:dyDescent="0.4">
      <c r="E32" s="4"/>
      <c r="G32"/>
      <c r="H32"/>
    </row>
    <row r="33" spans="5:8" x14ac:dyDescent="0.4">
      <c r="E33" s="4"/>
      <c r="G33"/>
      <c r="H33"/>
    </row>
    <row r="34" spans="5:8" x14ac:dyDescent="0.4">
      <c r="E34" s="4"/>
      <c r="G34"/>
      <c r="H34"/>
    </row>
    <row r="35" spans="5:8" x14ac:dyDescent="0.4">
      <c r="E35" s="4"/>
      <c r="G35"/>
      <c r="H35"/>
    </row>
    <row r="36" spans="5:8" x14ac:dyDescent="0.4">
      <c r="E36" s="4"/>
      <c r="G36"/>
      <c r="H36"/>
    </row>
    <row r="37" spans="5:8" x14ac:dyDescent="0.4">
      <c r="E37" s="4"/>
      <c r="G37"/>
      <c r="H37"/>
    </row>
    <row r="38" spans="5:8" x14ac:dyDescent="0.4">
      <c r="E38" s="4"/>
      <c r="G38"/>
      <c r="H38"/>
    </row>
    <row r="39" spans="5:8" x14ac:dyDescent="0.4">
      <c r="E39" s="4"/>
      <c r="G39"/>
      <c r="H39"/>
    </row>
    <row r="40" spans="5:8" x14ac:dyDescent="0.4">
      <c r="E40" s="4"/>
      <c r="G40"/>
      <c r="H40"/>
    </row>
    <row r="41" spans="5:8" x14ac:dyDescent="0.4">
      <c r="E41" s="4"/>
      <c r="G41"/>
      <c r="H41"/>
    </row>
    <row r="42" spans="5:8" x14ac:dyDescent="0.4">
      <c r="E42" s="4"/>
    </row>
    <row r="43" spans="5:8" x14ac:dyDescent="0.4">
      <c r="E43" s="4"/>
    </row>
    <row r="44" spans="5:8" x14ac:dyDescent="0.4">
      <c r="E44" s="4"/>
    </row>
  </sheetData>
  <hyperlinks>
    <hyperlink ref="E2" r:id="rId1" xr:uid="{7BDAF074-B816-4B71-BB52-626830437EB0}"/>
    <hyperlink ref="E3" r:id="rId2" xr:uid="{6DBA12EA-FD8C-4AFE-BFDB-893F935B2870}"/>
    <hyperlink ref="E4" r:id="rId3" xr:uid="{A410A3CD-E4C7-4F79-B091-F115BCA0AEAC}"/>
    <hyperlink ref="E5" r:id="rId4" xr:uid="{F451688E-3F58-4983-B043-CF2DE590598B}"/>
    <hyperlink ref="E6" r:id="rId5" xr:uid="{C276830A-4023-421F-9FC2-40DB3A64DAA9}"/>
    <hyperlink ref="E7" r:id="rId6" xr:uid="{D0307CA0-BC0A-43D3-83CB-0A3F00FA17A7}"/>
    <hyperlink ref="E8" r:id="rId7" xr:uid="{A1A127A5-FAD7-4632-9408-58526E88C03F}"/>
    <hyperlink ref="E9" r:id="rId8" xr:uid="{1DA7D085-20C6-4393-9EAA-182F4B68071B}"/>
    <hyperlink ref="E10" r:id="rId9" xr:uid="{36B8063F-66BF-4F22-91DC-82B6F3351788}"/>
    <hyperlink ref="E11" r:id="rId10" xr:uid="{DCFF365E-739A-4A26-9DF5-9F1C3D5E1009}"/>
    <hyperlink ref="E12" r:id="rId11" xr:uid="{113A3622-98F1-4ADD-97E1-18107C18CD61}"/>
    <hyperlink ref="E13" r:id="rId12" xr:uid="{C99D50C7-D98D-4CB6-B7D4-C7C4D8115E02}"/>
    <hyperlink ref="E14" r:id="rId13" xr:uid="{1A7774CF-9DCE-448F-BDBD-98CA7B293F73}"/>
    <hyperlink ref="E15" r:id="rId14" xr:uid="{1F0AAF60-EA48-4E0B-9111-13421A024899}"/>
    <hyperlink ref="E16" r:id="rId15" xr:uid="{0122DACF-E0BA-4CEC-B5B7-0108B9AC399C}"/>
    <hyperlink ref="E17" r:id="rId16" xr:uid="{B2370D20-63DB-48D3-B610-DCD08C33DAE6}"/>
    <hyperlink ref="E18" r:id="rId17" xr:uid="{25574901-65BB-4D51-9D1F-37EBC110A55C}"/>
    <hyperlink ref="E19" r:id="rId18" xr:uid="{45F092B9-7EDC-4661-8D38-2FBE25D73A39}"/>
    <hyperlink ref="E20" r:id="rId19" xr:uid="{06C21CAB-3BE5-4628-BF61-7EC1FA3BCF1C}"/>
    <hyperlink ref="E21" r:id="rId20" xr:uid="{E5639F65-3EB8-4A3C-ADFD-6B230B6F3B78}"/>
    <hyperlink ref="E22" r:id="rId21" xr:uid="{297A346E-C842-4859-ABD4-E6EC0F9415A3}"/>
  </hyperlinks>
  <pageMargins left="0.7" right="0.7" top="0.75" bottom="0.75" header="0.3" footer="0.3"/>
  <pageSetup orientation="portrait" r:id="rId2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11" sqref="C11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178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21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0.61111111111111094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155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149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156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152</v>
      </c>
      <c r="B14" s="10" t="s">
        <v>175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153</v>
      </c>
      <c r="B15" s="10" t="s">
        <v>176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150</v>
      </c>
      <c r="B16" s="10" t="s">
        <v>177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146</v>
      </c>
      <c r="B17" s="14"/>
      <c r="H17" s="36"/>
      <c r="J17" s="36"/>
    </row>
    <row r="18" spans="1:13" x14ac:dyDescent="0.4">
      <c r="A18" s="9" t="s">
        <v>147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2</v>
      </c>
      <c r="D20" s="22">
        <f>CEILING(C3/12, 1)</f>
        <v>2</v>
      </c>
      <c r="E20" s="19"/>
    </row>
    <row r="21" spans="1:13" x14ac:dyDescent="0.4">
      <c r="A21" s="9" t="s">
        <v>90</v>
      </c>
      <c r="B21" s="10" t="s">
        <v>75</v>
      </c>
      <c r="C21" s="31" t="s">
        <v>147</v>
      </c>
      <c r="D21" s="22" t="str">
        <f>IF(COUNTIF('Team Information'!$1:$1, "Division") &gt; 0, "Disabled with divisions", IF(OR(MOD(C3, 2), C20 &gt; 2), "Yes", "No"))</f>
        <v>Disabled with divisions</v>
      </c>
      <c r="E21" s="19"/>
    </row>
    <row r="22" spans="1:13" x14ac:dyDescent="0.4">
      <c r="A22" s="9" t="s">
        <v>148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4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 x14ac:dyDescent="0.4">
      <c r="A26" s="38">
        <f>MAX(C19:D19) + C22*TIME(0, C23, 0) + TIME(0, C25, 0)*FLOOR((C22 - IF(C21="Yes", 3, 2))/C24, 1)</f>
        <v>0.54999999999999993</v>
      </c>
      <c r="B26" s="10" t="s">
        <v>82</v>
      </c>
      <c r="C26" s="15">
        <f>IF(COUNTBLANK(C15:C25) &gt; 2, "N/A", A26 + IF(A26&gt;C15, TIME(0, MAX(0, C16 - C25), 0), 0))</f>
        <v>0.56388888888888877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158</v>
      </c>
      <c r="D28" s="34" t="s">
        <v>159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160</v>
      </c>
      <c r="D29" s="34" t="s">
        <v>161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162</v>
      </c>
      <c r="D30" s="34" t="s">
        <v>163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151</v>
      </c>
      <c r="C33" s="33" t="s">
        <v>164</v>
      </c>
      <c r="D33" s="34" t="s">
        <v>165</v>
      </c>
      <c r="E33" s="33" t="s">
        <v>166</v>
      </c>
      <c r="F33" s="33" t="s">
        <v>167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2</v>
      </c>
      <c r="D37" s="12">
        <f>IF(OR(ISBLANK(C20), COUNTBLANK(C23:C25) &gt; 0), "N/A", CEILING(3/2*C20*C34/(C23+C25/C24), 1))</f>
        <v>2</v>
      </c>
    </row>
    <row r="38" spans="1:13" x14ac:dyDescent="0.4">
      <c r="A38" s="9" t="s">
        <v>154</v>
      </c>
      <c r="B38" s="10" t="s">
        <v>168</v>
      </c>
      <c r="C38" s="31" t="s">
        <v>147</v>
      </c>
    </row>
    <row r="39" spans="1:13" x14ac:dyDescent="0.4">
      <c r="A39" s="9" t="s">
        <v>174</v>
      </c>
      <c r="B39" s="10" t="s">
        <v>173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169</v>
      </c>
      <c r="D40" s="34" t="s">
        <v>170</v>
      </c>
    </row>
    <row r="41" spans="1:13" s="34" customFormat="1" x14ac:dyDescent="0.4">
      <c r="A41" s="35" t="s">
        <v>141</v>
      </c>
      <c r="B41" s="32" t="s">
        <v>172</v>
      </c>
      <c r="D41" s="34" t="s">
        <v>171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2019-05-01T17:23:44Z</dcterms:modified>
</cp:coreProperties>
</file>