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B0968FEE-61ED-4356-ADF7-12B3890B8FD0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<sst xmlns="http://schemas.openxmlformats.org/spreadsheetml/2006/main" count="170" uniqueCount="170">
  <si>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</si>
  <si>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</si>
  <si>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</si>
  <si>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</si>
  <si>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</si>
  <si>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</si>
  <si>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</si>
  <si>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</si>
  <si>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</si>
  <si>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</si>
  <si>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</si>
  <si>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</si>
  <si>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</si>
  <si>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</si>
  <si>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</si>
  <si>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</si>
  <si>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</si>
  <si>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</si>
  <si>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</si>
  <si>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</si>
  <si>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</si>
  <si>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</si>
  <si>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</si>
  <si>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</si>
  <si>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</si>
  <si>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</si>
  <si>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</si>
  <si>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</si>
  <si>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</si>
  <si>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</si>
  <si>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</si>
  <si>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</si>
  <si>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</si>
  <si>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</si>
  <si>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</si>
  <si>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</si>
  <si>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</si>
  <si>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</si>
  <si>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</si>
  <si>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</si>
  <si>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</si>
  <si>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</si>
  <si>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</si>
  <si>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</si>
  <si>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</si>
  <si>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</si>
  <si>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</si>
  <si>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</si>
  <si>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</si>
  <si>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</si>
  <si>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</si>
  <si>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</si>
  <si>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</si>
  <si>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</si>
  <si>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</si>
  <si>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</si>
  <si>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</si>
  <si>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</si>
  <si>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</si>
  <si>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</si>
  <si>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</si>
  <si>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</si>
  <si>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Onofredo Audet</t>
  </si>
  <si>
    <t>(891) 893-8691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</si>
  <si>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</si>
  <si>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</si>
  <si>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</si>
  <si>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</si>
  <si>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</si>
  <si>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</si>
  <si>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</si>
  <si>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</si>
  <si>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</si>
  <si>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</si>
  <si>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</si>
  <si>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</si>
  <si>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</si>
  <si>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</si>
  <si>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</si>
  <si>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</si>
  <si>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</si>
  <si>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</si>
  <si>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</si>
  <si>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</si>
  <si>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</si>
  <si>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</si>
  <si>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</si>
  <si>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</si>
  <si>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</si>
  <si>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</si>
  <si>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</si>
  <si>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</si>
  <si>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</si>
  <si>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</si>
  <si>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</si>
  <si>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</si>
  <si>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</si>
  <si>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</si>
  <si>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</si>
  <si>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</si>
  <si>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</si>
  <si>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</si>
  <si>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</si>
  <si>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</si>
  <si>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</si>
  <si>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</si>
  <si>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</si>
  <si>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</si>
  <si>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</si>
  <si>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</si>
  <si>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</si>
  <si>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</si>
  <si>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</si>
  <si>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</si>
  <si>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</si>
  <si>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</si>
  <si>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</si>
  <si>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</si>
  <si>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</si>
  <si>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</si>
  <si>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</si>
  <si>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</si>
  <si>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</si>
  <si>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</si>
  <si>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</si>
  <si>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</si>
  <si>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Hubert</t>
  </si>
  <si>
    <t>Yes</t>
  </si>
  <si>
    <t>26-100</t>
  </si>
  <si>
    <t>18-380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</si>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</sst>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25" sqref="C25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152</v>
      </c>
      <c r="C1" s="3" t="s">
        <v>1</v>
      </c>
      <c r="D1" s="3" t="s">
        <v>2</v>
      </c>
      <c r="E1" s="3" t="s">
        <v>130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131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132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133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134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135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136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137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138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139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140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141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142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143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144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145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146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147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148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64</v>
      </c>
      <c r="D20" s="2" t="s">
        <v>65</v>
      </c>
      <c r="E20" s="29" t="s">
        <v>149</v>
      </c>
      <c r="F20" s="2" t="s">
        <v>66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150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62</v>
      </c>
      <c r="E22" s="29" t="s">
        <v>151</v>
      </c>
      <c r="F22" s="2" t="s">
        <v>63</v>
      </c>
      <c r="G22"/>
      <c r="H22"/>
    </row>
    <row r="23" spans="1:11" x14ac:dyDescent="0.4">
      <c r="E23" s="29"/>
      <c r="G23"/>
      <c r="H23"/>
    </row>
    <row r="24" spans="1:11" x14ac:dyDescent="0.4">
      <c r="E24" s="29"/>
      <c r="G24"/>
      <c r="H24"/>
    </row>
    <row r="25" spans="1:11" x14ac:dyDescent="0.4">
      <c r="E25" s="29"/>
      <c r="G25"/>
      <c r="H25"/>
    </row>
    <row r="26" spans="1:11" x14ac:dyDescent="0.4">
      <c r="E26" s="29"/>
      <c r="G26"/>
      <c r="H26"/>
    </row>
    <row r="27" spans="1:11" x14ac:dyDescent="0.4">
      <c r="E27" s="29"/>
      <c r="G27"/>
      <c r="H27"/>
    </row>
    <row r="28" spans="1:11" x14ac:dyDescent="0.4">
      <c r="E28" s="29"/>
      <c r="G28"/>
      <c r="H28"/>
    </row>
    <row r="29" spans="1:11" x14ac:dyDescent="0.4">
      <c r="E29" s="29"/>
      <c r="G29"/>
      <c r="H29"/>
    </row>
    <row r="30" spans="1:11" x14ac:dyDescent="0.4">
      <c r="E30" s="29"/>
      <c r="G30"/>
      <c r="H30"/>
    </row>
    <row r="31" spans="1:11" x14ac:dyDescent="0.4">
      <c r="E31" s="29"/>
      <c r="G31"/>
      <c r="H31"/>
    </row>
    <row r="32" spans="1:11" x14ac:dyDescent="0.4">
      <c r="E32" s="29"/>
      <c r="G32"/>
      <c r="H32"/>
    </row>
    <row r="33" spans="5:8" x14ac:dyDescent="0.4">
      <c r="E33" s="29"/>
      <c r="G33"/>
      <c r="H33"/>
    </row>
    <row r="34" spans="5:8" x14ac:dyDescent="0.4">
      <c r="E34" s="29"/>
      <c r="G34"/>
      <c r="H34"/>
    </row>
    <row r="35" spans="5:8" x14ac:dyDescent="0.4">
      <c r="E35" s="29"/>
      <c r="G35"/>
      <c r="H35"/>
    </row>
    <row r="36" spans="5:8" x14ac:dyDescent="0.4">
      <c r="E36" s="29"/>
      <c r="G36"/>
      <c r="H36"/>
    </row>
    <row r="37" spans="5:8" x14ac:dyDescent="0.4">
      <c r="E37" s="29"/>
      <c r="G37"/>
      <c r="H37"/>
    </row>
    <row r="38" spans="5:8" x14ac:dyDescent="0.4">
      <c r="E38" s="29"/>
      <c r="G38"/>
      <c r="H38"/>
    </row>
    <row r="39" spans="5:8" x14ac:dyDescent="0.4">
      <c r="E39" s="29"/>
      <c r="G39"/>
      <c r="H39"/>
    </row>
    <row r="40" spans="5:8" x14ac:dyDescent="0.4">
      <c r="E40" s="29"/>
      <c r="G40"/>
      <c r="H40"/>
    </row>
    <row r="41" spans="5:8" x14ac:dyDescent="0.4">
      <c r="E41" s="29"/>
      <c r="G41"/>
      <c r="H41"/>
    </row>
    <row r="42" spans="5:8" x14ac:dyDescent="0.4">
      <c r="E42" s="29"/>
    </row>
    <row r="43" spans="5:8" x14ac:dyDescent="0.4">
      <c r="E43" s="29"/>
    </row>
    <row r="44" spans="5:8" x14ac:dyDescent="0.4">
      <c r="E44" s="29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G11" sqref="G11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120</v>
      </c>
      <c r="B1" s="8" t="s">
        <v>119</v>
      </c>
      <c r="C1" s="9" t="s">
        <v>121</v>
      </c>
    </row>
    <row r="2" spans="1:13" s="4" customFormat="1" ht="18.45" x14ac:dyDescent="0.5">
      <c r="A2" s="26" t="s">
        <v>114</v>
      </c>
      <c r="B2" s="5" t="s">
        <v>69</v>
      </c>
      <c r="C2" s="35" t="s">
        <v>169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83</v>
      </c>
      <c r="C3" s="9">
        <f>COUNTA('Team Information'!A:A) - COUNTA('Team Information'!A1)</f>
        <v>21</v>
      </c>
      <c r="E3" s="32" t="s">
        <v>80</v>
      </c>
      <c r="F3" s="32"/>
      <c r="G3" s="32"/>
      <c r="H3" s="32"/>
      <c r="I3" s="32"/>
      <c r="J3" s="11">
        <f>C25 - TIME(0, C20, 0)  + TIME(0, C35, 0) + TIME(0, SUM(E38:L38), 0)*_xlfn.CEILING.MATH(C3/(2*C33))</f>
        <v>0.59837962962962976</v>
      </c>
    </row>
    <row r="6" spans="1:13" x14ac:dyDescent="0.4">
      <c r="A6" s="27" t="s">
        <v>100</v>
      </c>
      <c r="B6" s="8" t="s">
        <v>70</v>
      </c>
      <c r="C6" s="18" t="s">
        <v>71</v>
      </c>
      <c r="D6" s="33" t="s">
        <v>99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101</v>
      </c>
      <c r="B7" s="8" t="s">
        <v>87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153</v>
      </c>
      <c r="B8" s="8" t="s">
        <v>161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154</v>
      </c>
      <c r="B9" s="8" t="s">
        <v>160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159</v>
      </c>
      <c r="B10" s="8" t="s">
        <v>162</v>
      </c>
      <c r="C10" s="18" t="s">
        <v>163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155</v>
      </c>
      <c r="B11" s="8" t="s">
        <v>158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156</v>
      </c>
      <c r="B12" s="8" t="s">
        <v>157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164</v>
      </c>
      <c r="B13" s="8" t="s">
        <v>165</v>
      </c>
      <c r="C13" s="18" t="s">
        <v>166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81</v>
      </c>
      <c r="D15" s="13" t="s">
        <v>72</v>
      </c>
    </row>
    <row r="16" spans="1:13" x14ac:dyDescent="0.4">
      <c r="A16" s="27" t="s">
        <v>118</v>
      </c>
      <c r="B16" s="8" t="s">
        <v>94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102</v>
      </c>
      <c r="B17" s="8" t="s">
        <v>86</v>
      </c>
      <c r="C17" s="18">
        <v>2</v>
      </c>
      <c r="D17" s="22">
        <f>CEILING(C3/12, 1)</f>
        <v>2</v>
      </c>
      <c r="E17" s="21"/>
    </row>
    <row r="18" spans="1:13" x14ac:dyDescent="0.4">
      <c r="A18" s="27" t="s">
        <v>103</v>
      </c>
      <c r="B18" s="8" t="s">
        <v>84</v>
      </c>
      <c r="C18" s="18" t="s">
        <v>127</v>
      </c>
      <c r="D18" s="22" t="str">
        <f>IF(OR(MOD(C3, 2), C17 &gt; 2), "Yes", "No")</f>
        <v>Yes</v>
      </c>
      <c r="E18" s="21"/>
    </row>
    <row r="19" spans="1:13" x14ac:dyDescent="0.4">
      <c r="B19" s="8" t="s">
        <v>96</v>
      </c>
      <c r="C19" s="19">
        <f>IF(C18="Yes",1+_xlfn.CEILING.MATH((C3-1)/C17), _xlfn.CEILING.MATH(C3/C17))</f>
        <v>11</v>
      </c>
      <c r="D19" s="10" t="s">
        <v>97</v>
      </c>
      <c r="E19" s="21"/>
      <c r="F19" s="9"/>
    </row>
    <row r="20" spans="1:13" x14ac:dyDescent="0.4">
      <c r="A20" s="27" t="s">
        <v>104</v>
      </c>
      <c r="B20" s="8" t="s">
        <v>85</v>
      </c>
      <c r="C20" s="18">
        <v>17.5</v>
      </c>
      <c r="D20" s="10">
        <v>17.5</v>
      </c>
      <c r="E20" s="20"/>
    </row>
    <row r="21" spans="1:13" x14ac:dyDescent="0.4">
      <c r="A21" s="27" t="s">
        <v>105</v>
      </c>
      <c r="B21" s="8" t="s">
        <v>88</v>
      </c>
      <c r="C21" s="18">
        <v>3</v>
      </c>
      <c r="D21" s="10">
        <v>3</v>
      </c>
    </row>
    <row r="22" spans="1:13" x14ac:dyDescent="0.4">
      <c r="A22" s="27" t="s">
        <v>106</v>
      </c>
      <c r="B22" s="8" t="s">
        <v>89</v>
      </c>
      <c r="C22" s="18">
        <v>7.5</v>
      </c>
      <c r="D22" s="10">
        <f>MAX(C21*(20 - C20), 0)</f>
        <v>7.5</v>
      </c>
    </row>
    <row r="23" spans="1:13" x14ac:dyDescent="0.4">
      <c r="A23" s="27" t="s">
        <v>107</v>
      </c>
      <c r="B23" s="8" t="s">
        <v>90</v>
      </c>
      <c r="C23" s="28">
        <v>0.54166666666666663</v>
      </c>
      <c r="D23" s="14">
        <v>0.54166666666666663</v>
      </c>
    </row>
    <row r="24" spans="1:13" x14ac:dyDescent="0.4">
      <c r="A24" s="27" t="s">
        <v>108</v>
      </c>
      <c r="B24" s="8" t="s">
        <v>92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95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115</v>
      </c>
      <c r="B27" s="8" t="s">
        <v>67</v>
      </c>
      <c r="C27" s="17" t="s">
        <v>73</v>
      </c>
      <c r="D27" s="16" t="s">
        <v>74</v>
      </c>
      <c r="K27" s="16"/>
      <c r="L27" s="16"/>
      <c r="M27" s="16"/>
    </row>
    <row r="28" spans="1:13" s="15" customFormat="1" x14ac:dyDescent="0.4">
      <c r="A28" s="27" t="s">
        <v>116</v>
      </c>
      <c r="B28" s="8" t="s">
        <v>68</v>
      </c>
      <c r="C28" s="15">
        <v>101</v>
      </c>
      <c r="D28" s="16">
        <v>103</v>
      </c>
      <c r="K28" s="16"/>
      <c r="L28" s="16"/>
      <c r="M28" s="16"/>
    </row>
    <row r="29" spans="1:13" s="15" customFormat="1" x14ac:dyDescent="0.4">
      <c r="A29" s="27" t="s">
        <v>117</v>
      </c>
      <c r="B29" s="8" t="s">
        <v>78</v>
      </c>
      <c r="C29" s="15" t="s">
        <v>129</v>
      </c>
      <c r="D29" s="16" t="s">
        <v>128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82</v>
      </c>
      <c r="I32" s="8"/>
      <c r="J32" s="9"/>
    </row>
    <row r="33" spans="1:13" x14ac:dyDescent="0.4">
      <c r="A33" s="27" t="s">
        <v>109</v>
      </c>
      <c r="B33" s="8" t="s">
        <v>98</v>
      </c>
      <c r="C33" s="18">
        <v>2</v>
      </c>
      <c r="D33" s="10">
        <f>CEILING(3/2*D17*C38/(D20+D22/D21), 1)</f>
        <v>2</v>
      </c>
      <c r="I33" s="8"/>
      <c r="J33" s="9"/>
    </row>
    <row r="34" spans="1:13" x14ac:dyDescent="0.4">
      <c r="A34" s="27" t="s">
        <v>110</v>
      </c>
      <c r="B34" s="8" t="s">
        <v>91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111</v>
      </c>
      <c r="B35" s="8" t="s">
        <v>93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112</v>
      </c>
      <c r="B37" s="8" t="s">
        <v>79</v>
      </c>
      <c r="C37" s="15" t="s">
        <v>122</v>
      </c>
      <c r="D37" s="16" t="s">
        <v>75</v>
      </c>
      <c r="E37" s="15" t="s">
        <v>76</v>
      </c>
      <c r="F37" s="15" t="s">
        <v>77</v>
      </c>
      <c r="K37" s="16"/>
      <c r="L37" s="16"/>
      <c r="M37" s="16"/>
    </row>
    <row r="38" spans="1:13" s="15" customFormat="1" x14ac:dyDescent="0.4">
      <c r="A38" s="27" t="s">
        <v>113</v>
      </c>
      <c r="B38" s="8" t="s">
        <v>167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168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124</v>
      </c>
      <c r="B41" s="8" t="s">
        <v>123</v>
      </c>
      <c r="C41" s="17" t="s">
        <v>126</v>
      </c>
      <c r="D41" s="16" t="s">
        <v>125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2019-04-10T14:28:12Z</dcterms:modified>
</cp:coreProperties>
</file>