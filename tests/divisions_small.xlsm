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59484229-DB28-43A0-AC81-B7F09E92F3C1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C22" i="26" s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<sst xmlns="http://schemas.openxmlformats.org/spreadsheetml/2006/main" count="181" uniqueCount="179">
  <si>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</si>
  <si>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</si>
  <si>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</si>
  <si>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</si>
  <si>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</si>
  <si>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</si>
  <si>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</si>
  <si>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</si>
  <si>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</si>
  <si>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</si>
  <si>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</si>
  <si>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</si>
  <si>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</si>
  <si>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</si>
  <si>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</si>
  <si>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</si>
  <si>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</si>
  <si>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</si>
  <si>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</si>
  <si>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</si>
  <si>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</si>
  <si>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</si>
  <si>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</si>
  <si>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</si>
  <si>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</si>
  <si>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</si>
  <si>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</si>
  <si>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</si>
  <si>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</si>
  <si>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</si>
  <si>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</si>
  <si>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</si>
  <si>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</si>
  <si>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</si>
  <si>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</si>
  <si>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</si>
  <si>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</si>
  <si>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</si>
  <si>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</si>
  <si>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</si>
  <si>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</si>
  <si>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</si>
  <si>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</si>
  <si>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</si>
  <si>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</si>
  <si>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</si>
  <si>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</si>
  <si>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</si>
  <si>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</si>
  <si>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</si>
  <si>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</si>
  <si>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</si>
  <si>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</si>
  <si>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</si>
  <si>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</si>
  <si>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</si>
  <si>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</si>
  <si>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</si>
  <si>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</si>
  <si>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</si>
  <si>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</si>
  <si>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</si>
  <si>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</si>
  <si>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</si>
  <si>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</si>
  <si>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</si>
  <si>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</si>
  <si>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</si>
  <si>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</si>
  <si>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</si>
  <si>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</si>
  <si>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</si>
  <si>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</si>
  <si>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</si>
  <si>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</si>
  <si>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</si>
  <si>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</si>
  <si>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</si>
  <si>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</si>
  <si>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</si>
  <si>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</si>
  <si>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</si>
  <si>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</si>
  <si>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</si>
  <si>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</si>
  <si>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</si>
  <si>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</si>
  <si>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</si>
  <si>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</si>
  <si>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</si>
  <si>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</si>
  <si>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</si>
  <si>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</si>
  <si>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</si>
  <si>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</si>
  <si>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</si>
  <si>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</si>
  <si>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</si>
  <si>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</si>
  <si>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</si>
  <si>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</si>
  <si>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</si>
  <si>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</si>
  <si>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</si>
  <si>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</si>
  <si>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</si>
  <si>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</si>
  <si>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</si>
  <si>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</si>
  <si>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</si>
  <si>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</si>
  <si>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</si>
  <si>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</si>
  <si>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</si>
  <si>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</si>
  <si>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</si>
  <si>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</si>
  <si>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</si>
  <si>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</si>
  <si>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</si>
  <si>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</si>
  <si>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</si>
  <si>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</si>
  <si>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</si>
  <si>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</si>
  <si>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</si>
  <si>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</si>
  <si>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</si>
  <si>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</si>
  <si>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</si>
  <si>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</si>
  <si>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</si>
  <si>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</si>
  <si>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</si>
  <si>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</si>
  <si>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</si>
  <si>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</si>
  <si>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</si>
  <si>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</si>
  <si>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</si>
  <si>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</si>
  <si>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</si>
  <si>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</si>
  <si>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</si>
  <si>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</si>
  <si>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</si>
  <si>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</si>
  <si>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</si>
  <si>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</si>
  <si>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</si>
  <si>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</si>
  <si>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</si>
  <si>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</si>
  <si>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</si>
  <si>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</si>
  <si>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</si>
  <si>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</si>
  <si>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</si>
  <si>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</si>
  <si>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</si>
  <si>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</si>
  <si>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</si>
  <si>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divisions small</t>
  </si>
  <si>
    <t>Gym</t>
  </si>
  <si>
    <t>Registration</t>
  </si>
  <si>
    <t>P1</t>
  </si>
  <si>
    <t>P2</t>
  </si>
  <si>
    <t>RD1</t>
  </si>
  <si>
    <t>RD2</t>
  </si>
  <si>
    <t>CV 1</t>
  </si>
  <si>
    <t>CV 2</t>
  </si>
  <si>
    <t>Practice</t>
  </si>
  <si>
    <t>Rd 1</t>
  </si>
  <si>
    <t>Rd 2</t>
  </si>
  <si>
    <t>Rd 3</t>
  </si>
  <si>
    <t>Hubert</t>
  </si>
  <si>
    <t>Louis</t>
  </si>
  <si>
    <t>Dewford</t>
  </si>
  <si>
    <t>Division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</si>
</sst>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4" xfId="0" applyFont="1" applyFill="1" applyBorder="1" applyAlignment="1" applyProtection="1">
      <alignment horizontal="center"/>
      <protection locked="0"/>
    </xf>
    <xf numFmtId="0" fontId="5" fillId="2" borderId="5" xfId="0" applyFont="1" applyFill="1" applyBorder="1" applyAlignment="1" applyProtection="1">
      <alignment horizontal="center"/>
      <protection locked="0"/>
    </xf>
    <xf numFmtId="0" fontId="5" fillId="2" borderId="6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2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B23" sqref="B23:B42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178</v>
      </c>
      <c r="C1" s="3" t="s">
        <v>1</v>
      </c>
      <c r="D1" s="3" t="s">
        <v>2</v>
      </c>
      <c r="E1" s="3" t="s">
        <v>106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107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108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109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110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111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112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113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114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115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116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117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118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119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120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121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122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123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124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125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126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141</v>
      </c>
      <c r="D22" s="2" t="s">
        <v>142</v>
      </c>
      <c r="E22" s="4" t="s">
        <v>143</v>
      </c>
      <c r="F22" s="2" t="s">
        <v>144</v>
      </c>
      <c r="G22"/>
      <c r="H22"/>
    </row>
    <row r="23" spans="1:11" x14ac:dyDescent="0.4">
      <c r="E23" s="4"/>
      <c r="G23"/>
      <c r="H23"/>
    </row>
    <row r="24" spans="1:11" x14ac:dyDescent="0.4">
      <c r="E24" s="4"/>
      <c r="G24"/>
      <c r="H24"/>
    </row>
    <row r="25" spans="1:11" x14ac:dyDescent="0.4">
      <c r="E25" s="4"/>
      <c r="G25"/>
      <c r="H25"/>
    </row>
    <row r="26" spans="1:11" x14ac:dyDescent="0.4">
      <c r="E26" s="4"/>
      <c r="G26"/>
      <c r="H26"/>
    </row>
    <row r="27" spans="1:11" x14ac:dyDescent="0.4">
      <c r="E27" s="4"/>
      <c r="G27"/>
      <c r="H27"/>
    </row>
    <row r="28" spans="1:11" x14ac:dyDescent="0.4">
      <c r="E28" s="4"/>
      <c r="G28"/>
      <c r="H28"/>
    </row>
    <row r="29" spans="1:11" x14ac:dyDescent="0.4">
      <c r="E29" s="4"/>
      <c r="G29"/>
      <c r="H29"/>
    </row>
    <row r="30" spans="1:11" x14ac:dyDescent="0.4">
      <c r="E30" s="4"/>
      <c r="G30"/>
      <c r="H30"/>
    </row>
    <row r="31" spans="1:11" x14ac:dyDescent="0.4">
      <c r="E31" s="4"/>
      <c r="G31"/>
      <c r="H31"/>
    </row>
    <row r="32" spans="1:11" x14ac:dyDescent="0.4">
      <c r="E32" s="4"/>
      <c r="G32"/>
      <c r="H32"/>
    </row>
    <row r="33" spans="5:8" x14ac:dyDescent="0.4">
      <c r="E33" s="4"/>
      <c r="G33"/>
      <c r="H33"/>
    </row>
    <row r="34" spans="5:8" x14ac:dyDescent="0.4">
      <c r="E34" s="4"/>
      <c r="G34"/>
      <c r="H34"/>
    </row>
    <row r="35" spans="5:8" x14ac:dyDescent="0.4">
      <c r="E35" s="4"/>
      <c r="G35"/>
      <c r="H35"/>
    </row>
    <row r="36" spans="5:8" x14ac:dyDescent="0.4">
      <c r="E36" s="4"/>
      <c r="G36"/>
      <c r="H36"/>
    </row>
    <row r="37" spans="5:8" x14ac:dyDescent="0.4">
      <c r="E37" s="4"/>
      <c r="G37"/>
      <c r="H37"/>
    </row>
    <row r="38" spans="5:8" x14ac:dyDescent="0.4">
      <c r="E38" s="4"/>
      <c r="G38"/>
      <c r="H38"/>
    </row>
    <row r="39" spans="5:8" x14ac:dyDescent="0.4">
      <c r="E39" s="4"/>
      <c r="G39"/>
      <c r="H39"/>
    </row>
    <row r="40" spans="5:8" x14ac:dyDescent="0.4">
      <c r="E40" s="4"/>
      <c r="G40"/>
      <c r="H40"/>
    </row>
    <row r="41" spans="5:8" x14ac:dyDescent="0.4">
      <c r="E41" s="4"/>
      <c r="G41"/>
      <c r="H41"/>
    </row>
    <row r="42" spans="5:8" x14ac:dyDescent="0.4">
      <c r="E42" s="4"/>
    </row>
    <row r="43" spans="5:8" x14ac:dyDescent="0.4">
      <c r="E43" s="4"/>
    </row>
    <row r="44" spans="5:8" x14ac:dyDescent="0.4">
      <c r="E44" s="4"/>
    </row>
  </sheetData>
  <hyperlinks>
    <hyperlink ref="E2" r:id="rId1" xr:uid="{81E4C58D-3DC7-4C67-AB84-A3EE0C87E757}"/>
    <hyperlink ref="E3" r:id="rId2" xr:uid="{730D121F-C111-480A-A9C2-73CD44834F32}"/>
    <hyperlink ref="E4" r:id="rId3" xr:uid="{B7C8F3A9-E6FA-4129-8A9B-C47F7FC33FF0}"/>
    <hyperlink ref="E5" r:id="rId4" xr:uid="{A64CDB70-AE20-4B51-BEDC-BB9145E1E760}"/>
    <hyperlink ref="E6" r:id="rId5" xr:uid="{44E30B4C-FE28-4D79-8DF6-AB2D008DD93A}"/>
    <hyperlink ref="E7" r:id="rId6" xr:uid="{795DA10F-1E7E-4F80-A639-DA1167100E33}"/>
    <hyperlink ref="E8" r:id="rId7" xr:uid="{A8C5F61D-7373-4F14-BC81-993B322AB686}"/>
    <hyperlink ref="E9" r:id="rId8" xr:uid="{1879BA67-A442-47E4-8F16-84ED26BDD686}"/>
    <hyperlink ref="E10" r:id="rId9" xr:uid="{D48B5477-B50D-4ADB-B264-4157999AF0EB}"/>
    <hyperlink ref="E11" r:id="rId10" xr:uid="{36A78F7B-1736-4764-A3F4-03892BB66001}"/>
    <hyperlink ref="E12" r:id="rId11" xr:uid="{0CED9D6A-D345-4F3D-BBBA-B1F6CBEAF333}"/>
    <hyperlink ref="E13" r:id="rId12" xr:uid="{966A2CAF-1562-4E43-98CF-C08F5CE9A035}"/>
    <hyperlink ref="E14" r:id="rId13" xr:uid="{4E455805-4711-49C6-B727-7FAE08DA9585}"/>
    <hyperlink ref="E15" r:id="rId14" xr:uid="{45FE7215-0C12-4A93-BB95-7220DDDD90AB}"/>
    <hyperlink ref="E16" r:id="rId15" xr:uid="{705C7B81-716F-481E-BE9B-DCC380BC2DF7}"/>
    <hyperlink ref="E17" r:id="rId16" xr:uid="{C8E14666-83A4-4EB7-987D-878E0075B98A}"/>
    <hyperlink ref="E18" r:id="rId17" xr:uid="{11F81E93-E749-4520-A864-5389DD8E2E78}"/>
    <hyperlink ref="E19" r:id="rId18" xr:uid="{4CF97D6B-2EF1-487C-B41F-C156820343E3}"/>
    <hyperlink ref="E20" r:id="rId19" xr:uid="{517EDAD2-28BE-41B4-9AB4-B5B6282C25C2}"/>
    <hyperlink ref="E21" r:id="rId20" xr:uid="{0DBF525E-50BE-4397-AFE4-0B25AE23440C}"/>
    <hyperlink ref="E22" r:id="rId21" xr:uid="{FA40BBD8-8F47-427F-B3B2-3571BE0A8DA2}"/>
  </hyperlinks>
  <pageMargins left="0.7" right="0.7" top="0.75" bottom="0.75" header="0.3" footer="0.3"/>
  <pageSetup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20" sqref="C20"/>
    </sheetView>
  </sheetViews>
  <sheetFormatPr defaultRowHeight="14.6" x14ac:dyDescent="0.4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102</v>
      </c>
      <c r="B1" s="10" t="s">
        <v>101</v>
      </c>
      <c r="C1" s="11" t="s">
        <v>103</v>
      </c>
    </row>
    <row r="2" spans="1:13" s="26" customFormat="1" ht="18.45" x14ac:dyDescent="0.5">
      <c r="A2" s="27" t="s">
        <v>96</v>
      </c>
      <c r="B2" s="28" t="s">
        <v>66</v>
      </c>
      <c r="C2" s="42" t="s">
        <v>162</v>
      </c>
      <c r="D2" s="43"/>
      <c r="E2" s="43"/>
      <c r="F2" s="43"/>
      <c r="G2" s="43"/>
      <c r="H2" s="43"/>
      <c r="I2" s="43"/>
      <c r="J2" s="44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21</v>
      </c>
      <c r="E3" s="39" t="s">
        <v>71</v>
      </c>
      <c r="F3" s="39"/>
      <c r="G3" s="39"/>
      <c r="H3" s="39"/>
      <c r="I3" s="39"/>
      <c r="J3" s="24">
        <f>IF(OR(ISBLANK(C37),C26="N/A"),"N/A",C26+TIME(0,C16-C23,0)+TIME(0,E34,0)+(CEILING(C3/(2*C37),1)+IF(C39&gt;0,FLOOR(C3/(2*C39),1),0))*(TIME(0,SUM(F34:K34),0)))</f>
        <v>0.61666666666666647</v>
      </c>
    </row>
    <row r="6" spans="1:13" x14ac:dyDescent="0.4">
      <c r="A6" s="9" t="s">
        <v>86</v>
      </c>
      <c r="B6" s="10" t="s">
        <v>67</v>
      </c>
      <c r="C6" s="5" t="s">
        <v>68</v>
      </c>
      <c r="D6" s="40" t="s">
        <v>85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87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128</v>
      </c>
      <c r="B9" s="10" t="s">
        <v>133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132</v>
      </c>
      <c r="B10" s="10" t="s">
        <v>135</v>
      </c>
      <c r="C10" s="31" t="s">
        <v>163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130</v>
      </c>
      <c r="B12" s="10" t="s">
        <v>148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136</v>
      </c>
      <c r="B13" s="10" t="s">
        <v>137</v>
      </c>
      <c r="C13" s="31" t="s">
        <v>164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151</v>
      </c>
      <c r="B14" s="10" t="s">
        <v>157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152</v>
      </c>
      <c r="B15" s="10" t="s">
        <v>158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149</v>
      </c>
      <c r="B16" s="10" t="s">
        <v>159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145</v>
      </c>
      <c r="B17" s="14"/>
      <c r="H17" s="36"/>
      <c r="J17" s="36"/>
    </row>
    <row r="18" spans="1:13" x14ac:dyDescent="0.4">
      <c r="A18" s="9" t="s">
        <v>146</v>
      </c>
      <c r="B18" s="14" t="s">
        <v>72</v>
      </c>
      <c r="D18" s="16" t="s">
        <v>69</v>
      </c>
    </row>
    <row r="19" spans="1:13" x14ac:dyDescent="0.4">
      <c r="A19" s="9" t="s">
        <v>100</v>
      </c>
      <c r="B19" s="10" t="s">
        <v>80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88</v>
      </c>
      <c r="B20" s="10" t="s">
        <v>77</v>
      </c>
      <c r="C20" s="5">
        <v>2</v>
      </c>
      <c r="D20" s="22">
        <f>CEILING(C3/12, 1)</f>
        <v>2</v>
      </c>
      <c r="E20" s="19"/>
    </row>
    <row r="21" spans="1:13" x14ac:dyDescent="0.4">
      <c r="A21" s="9" t="s">
        <v>89</v>
      </c>
      <c r="B21" s="10" t="s">
        <v>75</v>
      </c>
      <c r="C21" s="31" t="s">
        <v>146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147</v>
      </c>
      <c r="B22" s="10" t="s">
        <v>82</v>
      </c>
      <c r="C22" s="18">
        <f>IF(ISBLANK(C20), "N/A", IF(C21="Yes",1+_xlfn.CEILING.MATH((C3-1)/C20), _xlfn.CEILING.MATH(C3/C20)))</f>
        <v>11</v>
      </c>
      <c r="D22" s="12" t="s">
        <v>83</v>
      </c>
      <c r="E22" s="19"/>
      <c r="F22" s="11"/>
      <c r="J22" s="37"/>
    </row>
    <row r="23" spans="1:13" x14ac:dyDescent="0.4">
      <c r="A23" s="9" t="s">
        <v>90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91</v>
      </c>
      <c r="B24" s="10" t="s">
        <v>160</v>
      </c>
      <c r="C24" s="5">
        <v>4</v>
      </c>
      <c r="D24" s="12">
        <v>3</v>
      </c>
    </row>
    <row r="25" spans="1:13" x14ac:dyDescent="0.4">
      <c r="A25" s="9" t="s">
        <v>92</v>
      </c>
      <c r="B25" s="10" t="s">
        <v>79</v>
      </c>
      <c r="C25" s="5">
        <v>10</v>
      </c>
      <c r="D25" s="12">
        <f>IF(OR(C24 = 0, ISBLANK(C24), ISBLANK(C23)), "", MAX(C24*(20 - C23), 0))</f>
        <v>10</v>
      </c>
    </row>
    <row r="26" spans="1:13" x14ac:dyDescent="0.4">
      <c r="A26" s="38">
        <f>MAX(C19:D19) + C22*TIME(0, C23, 0) + IF(C24 &gt; 0, TIME(0, C25, 0)*FLOOR((C22 - IF(C21="Yes", 3, 2))/C24, 1), 0)</f>
        <v>0.54999999999999993</v>
      </c>
      <c r="B26" s="10" t="s">
        <v>81</v>
      </c>
      <c r="C26" s="15">
        <f>IF(COUNTBLANK(C15:C25) &gt; 2, "N/A", A26 + IF(A26&gt;C15, TIME(0, MAX(0, C16 - C25), 0), 0))</f>
        <v>0.56388888888888877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97</v>
      </c>
      <c r="B28" s="32" t="s">
        <v>64</v>
      </c>
      <c r="C28" s="33" t="s">
        <v>165</v>
      </c>
      <c r="D28" s="34" t="s">
        <v>166</v>
      </c>
      <c r="K28" s="34"/>
      <c r="L28" s="34"/>
      <c r="M28" s="34"/>
    </row>
    <row r="29" spans="1:13" s="33" customFormat="1" x14ac:dyDescent="0.4">
      <c r="A29" s="35" t="s">
        <v>98</v>
      </c>
      <c r="B29" s="32" t="s">
        <v>65</v>
      </c>
      <c r="C29" s="33" t="s">
        <v>167</v>
      </c>
      <c r="D29" s="34" t="s">
        <v>168</v>
      </c>
      <c r="K29" s="34"/>
      <c r="L29" s="34"/>
      <c r="M29" s="34"/>
    </row>
    <row r="30" spans="1:13" s="33" customFormat="1" x14ac:dyDescent="0.4">
      <c r="A30" s="35" t="s">
        <v>99</v>
      </c>
      <c r="B30" s="32" t="s">
        <v>70</v>
      </c>
      <c r="C30" s="33" t="s">
        <v>169</v>
      </c>
      <c r="D30" s="34" t="s">
        <v>170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94</v>
      </c>
      <c r="B33" s="32" t="s">
        <v>150</v>
      </c>
      <c r="C33" s="33" t="s">
        <v>171</v>
      </c>
      <c r="D33" s="34" t="s">
        <v>172</v>
      </c>
      <c r="E33" s="33" t="s">
        <v>173</v>
      </c>
      <c r="F33" s="33" t="s">
        <v>174</v>
      </c>
      <c r="K33" s="34"/>
      <c r="L33" s="34"/>
      <c r="M33" s="34"/>
    </row>
    <row r="34" spans="1:13" s="7" customFormat="1" x14ac:dyDescent="0.4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93</v>
      </c>
      <c r="B37" s="10" t="s">
        <v>84</v>
      </c>
      <c r="C37" s="5">
        <v>2</v>
      </c>
      <c r="D37" s="12">
        <f>IF(OR(ISBLANK(C20), COUNTBLANK(C23:C25) &gt; 0), "N/A", CEILING(3/2*C20*C34/(C23+C25/C24), 1))</f>
        <v>2</v>
      </c>
    </row>
    <row r="38" spans="1:13" x14ac:dyDescent="0.4">
      <c r="A38" s="9" t="s">
        <v>153</v>
      </c>
      <c r="B38" s="10" t="s">
        <v>154</v>
      </c>
      <c r="C38" s="31" t="s">
        <v>146</v>
      </c>
    </row>
    <row r="39" spans="1:13" x14ac:dyDescent="0.4">
      <c r="A39" s="9" t="s">
        <v>156</v>
      </c>
      <c r="B39" s="10" t="s">
        <v>161</v>
      </c>
      <c r="C39" s="30">
        <v>10</v>
      </c>
    </row>
    <row r="40" spans="1:13" s="34" customFormat="1" x14ac:dyDescent="0.4">
      <c r="A40" s="35" t="s">
        <v>105</v>
      </c>
      <c r="B40" s="32" t="s">
        <v>104</v>
      </c>
      <c r="C40" s="34" t="s">
        <v>175</v>
      </c>
      <c r="D40" s="34" t="s">
        <v>176</v>
      </c>
    </row>
    <row r="41" spans="1:13" s="34" customFormat="1" x14ac:dyDescent="0.4">
      <c r="A41" s="35" t="s">
        <v>140</v>
      </c>
      <c r="B41" s="32" t="s">
        <v>155</v>
      </c>
      <c r="D41" s="34" t="s">
        <v>177</v>
      </c>
    </row>
  </sheetData>
  <sheetProtection sheet="1" selectLockedCells="1"/>
  <mergeCells count="3">
    <mergeCell ref="E3:I3"/>
    <mergeCell ref="D6:L7"/>
    <mergeCell ref="C2:J2"/>
  </mergeCells>
  <conditionalFormatting sqref="A28:B30 E28:XFD30">
    <cfRule type="expression" dxfId="19" priority="19">
      <formula>AND(COLUMN() - 2 &gt; $C$20, NOT(ISBLANK(A28)))</formula>
    </cfRule>
    <cfRule type="expression" dxfId="18" priority="21">
      <formula>AND(COLUMN() &gt; 2, COLUMN()  - 3 &lt; $C$20, NOT(ISBLANK(A28)))</formula>
    </cfRule>
    <cfRule type="expression" dxfId="17" priority="22">
      <formula>AND(COLUMN() &gt; 2, COLUMN() - 3 &lt; $C$20)</formula>
    </cfRule>
  </conditionalFormatting>
  <conditionalFormatting sqref="A33:B33 G33:XFD33">
    <cfRule type="expression" dxfId="16" priority="18">
      <formula>AND(COLUMN() - 4 &lt; COUNTA(A$33:$C$33), COLUMN() &gt; 2)</formula>
    </cfRule>
  </conditionalFormatting>
  <conditionalFormatting sqref="A34:B34 G34:XFD34">
    <cfRule type="expression" dxfId="15" priority="14">
      <formula>AND(COLUMN() - 4 &lt; COUNTA(A$34:$C$34), COLUMN() &gt; 2, NOT(ISBLANK(A33)))</formula>
    </cfRule>
  </conditionalFormatting>
  <conditionalFormatting sqref="A40:B40 E40:XFD40">
    <cfRule type="expression" dxfId="14" priority="23">
      <formula>AND(COLUMN() - 2 &gt; $C$37, NOT(ISBLANK(A40)))</formula>
    </cfRule>
    <cfRule type="expression" dxfId="13" priority="24">
      <formula>AND(COLUMN() &gt; 2, COLUMN()  - 3 &lt; $C$37, NOT(ISBLANK(A40)))</formula>
    </cfRule>
    <cfRule type="expression" dxfId="12" priority="25">
      <formula>AND(COLUMN() &gt; 2, COLUMN() - 3 &lt; $C$37)</formula>
    </cfRule>
  </conditionalFormatting>
  <conditionalFormatting sqref="A41:B41 E41:XFD41">
    <cfRule type="expression" dxfId="11" priority="26">
      <formula>AND(OR(ISBLANK(A40), COLUMN() - 2 &gt; $C$37), NOT(ISBLANK(A41)))</formula>
    </cfRule>
    <cfRule type="expression" dxfId="10" priority="27">
      <formula>AND(COLUMN() &gt; 2, COLUMN() - 3 &lt; $C$37, NOT(ISBLANK(A40)))</formula>
    </cfRule>
  </conditionalFormatting>
  <conditionalFormatting sqref="C28:D30">
    <cfRule type="expression" dxfId="9" priority="8">
      <formula>AND(COLUMN() - 2 &gt; $C$20, NOT(ISBLANK(C28)))</formula>
    </cfRule>
    <cfRule type="expression" dxfId="8" priority="9">
      <formula>AND(COLUMN() &gt; 2, COLUMN()  - 3 &lt; $C$20, NOT(ISBLANK(C28)))</formula>
    </cfRule>
    <cfRule type="expression" dxfId="7" priority="10">
      <formula>AND(COLUMN() &gt; 2, COLUMN() - 3 &lt; $C$20)</formula>
    </cfRule>
  </conditionalFormatting>
  <conditionalFormatting sqref="C33:F33">
    <cfRule type="expression" dxfId="6" priority="7">
      <formula>AND(COLUMN() - 4 &lt; COUNTA(C$33:$C$33), COLUMN() &gt; 2)</formula>
    </cfRule>
  </conditionalFormatting>
  <conditionalFormatting sqref="C34:F34">
    <cfRule type="expression" dxfId="5" priority="6">
      <formula>AND(COLUMN() - 4 &lt; COUNTA(C$34:$C$34), COLUMN() &gt; 2, NOT(ISBLANK(C33)))</formula>
    </cfRule>
  </conditionalFormatting>
  <conditionalFormatting sqref="C40:D40">
    <cfRule type="expression" dxfId="4" priority="1">
      <formula>AND(COLUMN() - 2 &gt; $C$37, NOT(ISBLANK(C40)))</formula>
    </cfRule>
    <cfRule type="expression" dxfId="3" priority="2">
      <formula>AND(COLUMN() &gt; 2, COLUMN()  - 3 &lt; $C$37, NOT(ISBLANK(C40)))</formula>
    </cfRule>
    <cfRule type="expression" dxfId="2" priority="3">
      <formula>AND(COLUMN() &gt; 2, COLUMN() - 3 &lt; $C$37)</formula>
    </cfRule>
  </conditionalFormatting>
  <conditionalFormatting sqref="C41:D41">
    <cfRule type="expression" dxfId="1" priority="4">
      <formula>AND(OR(ISBLANK(C40), COLUMN() - 2 &gt; $C$37), NOT(ISBLANK(C41)))</formula>
    </cfRule>
    <cfRule type="expression" dxfId="0" priority="5">
      <formula>AND(COLUMN() &gt; 2, COLUMN() - 3 &lt; $C$37, NOT(ISBLANK(C40)))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2019-05-06T19:47:37Z</dcterms:modified>
</cp:coreProperties>
</file>