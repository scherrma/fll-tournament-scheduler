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8D470D7F-8109-466D-8B90-B4AE3C5687F3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<sst xmlns="http://schemas.openxmlformats.org/spreadsheetml/2006/main" count="183" uniqueCount="181">
  <si>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</si>
  <si>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</si>
  <si>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</si>
  <si>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</si>
  <si>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</si>
  <si>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</si>
  <si>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</si>
  <si>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</si>
  <si>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</si>
  <si>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</si>
  <si>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</si>
  <si>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</si>
  <si>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</si>
  <si>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</si>
  <si>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</si>
  <si>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</si>
  <si>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</si>
  <si>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</si>
  <si>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</si>
  <si>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</si>
  <si>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</si>
  <si>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</si>
  <si>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</si>
  <si>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</si>
  <si>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</si>
  <si>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</si>
  <si>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</si>
  <si>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</si>
  <si>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</si>
  <si>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</si>
  <si>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</si>
  <si>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</si>
  <si>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</si>
  <si>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</si>
  <si>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</si>
  <si>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</si>
  <si>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</si>
  <si>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</si>
  <si>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</si>
  <si>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</si>
  <si>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</si>
  <si>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</si>
  <si>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</si>
  <si>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</si>
  <si>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</si>
  <si>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</si>
  <si>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</si>
  <si>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</si>
  <si>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</si>
  <si>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</si>
  <si>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</si>
  <si>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</si>
  <si>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</si>
  <si>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</si>
  <si>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</si>
  <si>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</si>
  <si>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</si>
  <si>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</si>
  <si>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</si>
  <si>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</si>
  <si>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</si>
  <si>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</si>
  <si>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</si>
  <si>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</si>
  <si>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</si>
  <si>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</si>
  <si>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</si>
  <si>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</si>
  <si>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</si>
  <si>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</si>
  <si>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</si>
  <si>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</si>
  <si>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</si>
  <si>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</si>
  <si>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</si>
  <si>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</si>
  <si>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</si>
  <si>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</si>
  <si>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</si>
  <si>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</si>
  <si>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</si>
  <si>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</si>
  <si>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</si>
  <si>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</si>
  <si>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</si>
  <si>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</si>
  <si>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</si>
  <si>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</si>
  <si>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</si>
  <si>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</si>
  <si>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</si>
  <si>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</si>
  <si>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</si>
  <si>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</si>
  <si>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</si>
  <si>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</si>
  <si>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</si>
  <si>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</si>
  <si>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</si>
  <si>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</si>
  <si>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</si>
  <si>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</si>
  <si>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</si>
  <si>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</si>
  <si>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</si>
  <si>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</si>
  <si>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</si>
  <si>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</si>
  <si>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</si>
  <si>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</si>
  <si>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</si>
  <si>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</si>
  <si>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</si>
  <si>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</si>
  <si>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</si>
  <si>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</si>
  <si>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</si>
  <si>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</si>
  <si>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</si>
  <si>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</si>
  <si>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</si>
  <si>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</si>
  <si>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</si>
  <si>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</si>
  <si>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</si>
  <si>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</si>
  <si>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</si>
  <si>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</si>
  <si>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</si>
  <si>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</si>
  <si>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</si>
  <si>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</si>
  <si>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</si>
  <si>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</si>
  <si>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</si>
  <si>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</si>
  <si>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</si>
  <si>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</si>
  <si>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</si>
  <si>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</si>
  <si>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</si>
  <si>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</si>
  <si>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</si>
  <si>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</si>
  <si>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</si>
  <si>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</si>
  <si>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</si>
  <si>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</si>
  <si>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</si>
  <si>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</si>
  <si>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</si>
  <si>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</si>
  <si>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</si>
  <si>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</si>
  <si>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</si>
  <si>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</si>
  <si>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</si>
  <si>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</si>
  <si>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</si>
  <si>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</si>
  <si>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</si>
  <si>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</si>
  <si>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</si>
  <si>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</si>
  <si>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</si>
  <si>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divisions small</t>
  </si>
  <si>
    <t>Gym</t>
  </si>
  <si>
    <t>Registration</t>
  </si>
  <si>
    <t>P1</t>
  </si>
  <si>
    <t>P2</t>
  </si>
  <si>
    <t>RD1</t>
  </si>
  <si>
    <t>RD2</t>
  </si>
  <si>
    <t>CV 1</t>
  </si>
  <si>
    <t>CV 2</t>
  </si>
  <si>
    <t>Rd 1</t>
  </si>
  <si>
    <t>Rd 2</t>
  </si>
  <si>
    <t>Rd 3</t>
  </si>
  <si>
    <t>Hubert</t>
  </si>
  <si>
    <t>Louis</t>
  </si>
  <si>
    <t>Dewford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</si>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</sst>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abSelected="1" topLeftCell="A8" workbookViewId="0">
      <selection activeCell="C30" sqref="C30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154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opLeftCell="B2" workbookViewId="0">
      <selection activeCell="C12" sqref="C12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0" t="s">
        <v>165</v>
      </c>
      <c r="D2" s="51"/>
      <c r="E2" s="51"/>
      <c r="F2" s="51"/>
      <c r="G2" s="51"/>
      <c r="H2" s="51"/>
      <c r="I2" s="51"/>
      <c r="J2" s="52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21</v>
      </c>
      <c r="E3" s="47" t="s">
        <v>71</v>
      </c>
      <c r="F3" s="47"/>
      <c r="G3" s="47"/>
      <c r="H3" s="47"/>
      <c r="I3" s="47"/>
      <c r="J3" s="23">
        <f>IF(OR(ISBLANK(C38),C26="N/A"),"N/A",C26+TIME(0,C16-C23,0)+TIME(0,E35,0)+(CEILING(C3/(2*C38),1)+IF(C40&gt;0,FLOOR(C3/(2*C40),1),0))*(TIME(0,SUM(F35:K35),0)))</f>
        <v>0.61666666666666647</v>
      </c>
    </row>
    <row r="6" spans="1:13" x14ac:dyDescent="0.4">
      <c r="A6" s="8" t="s">
        <v>86</v>
      </c>
      <c r="B6" s="9" t="s">
        <v>67</v>
      </c>
      <c r="C6" s="5" t="s">
        <v>68</v>
      </c>
      <c r="D6" s="48" t="s">
        <v>85</v>
      </c>
      <c r="E6" s="49"/>
      <c r="F6" s="49"/>
      <c r="G6" s="49"/>
      <c r="H6" s="49"/>
      <c r="I6" s="49"/>
      <c r="J6" s="49"/>
      <c r="K6" s="49"/>
      <c r="L6" s="49"/>
      <c r="M6" s="12"/>
    </row>
    <row r="7" spans="1:13" x14ac:dyDescent="0.4">
      <c r="A7" s="8" t="s">
        <v>87</v>
      </c>
      <c r="B7" s="9" t="s">
        <v>78</v>
      </c>
      <c r="C7" s="39">
        <v>12.5</v>
      </c>
      <c r="D7" s="48"/>
      <c r="E7" s="49"/>
      <c r="F7" s="49"/>
      <c r="G7" s="49"/>
      <c r="H7" s="49"/>
      <c r="I7" s="49"/>
      <c r="J7" s="49"/>
      <c r="K7" s="49"/>
      <c r="L7" s="49"/>
      <c r="M7" s="12"/>
    </row>
    <row r="8" spans="1:13" x14ac:dyDescent="0.4">
      <c r="A8" s="8" t="s">
        <v>127</v>
      </c>
      <c r="B8" s="9" t="s">
        <v>134</v>
      </c>
      <c r="C8" s="38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9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40" t="s">
        <v>166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8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148</v>
      </c>
      <c r="C12" s="39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40" t="s">
        <v>167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151</v>
      </c>
      <c r="B14" s="9" t="s">
        <v>158</v>
      </c>
      <c r="C14" s="38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152</v>
      </c>
      <c r="B15" s="9" t="s">
        <v>159</v>
      </c>
      <c r="C15" s="38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149</v>
      </c>
      <c r="B16" s="9" t="s">
        <v>160</v>
      </c>
      <c r="C16" s="39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145</v>
      </c>
      <c r="B17" s="13"/>
      <c r="H17" s="35"/>
      <c r="J17" s="35"/>
    </row>
    <row r="18" spans="1:13" x14ac:dyDescent="0.4">
      <c r="A18" s="8" t="s">
        <v>146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2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41">
        <v>2</v>
      </c>
      <c r="D20" s="21">
        <f>CEILING(C3/12, 1)</f>
        <v>2</v>
      </c>
      <c r="E20" s="18"/>
    </row>
    <row r="21" spans="1:13" x14ac:dyDescent="0.4">
      <c r="A21" s="8" t="s">
        <v>89</v>
      </c>
      <c r="B21" s="9" t="s">
        <v>75</v>
      </c>
      <c r="C21" s="43" t="s">
        <v>146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147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6"/>
    </row>
    <row r="23" spans="1:13" x14ac:dyDescent="0.4">
      <c r="A23" s="8" t="s">
        <v>90</v>
      </c>
      <c r="B23" s="9" t="s">
        <v>76</v>
      </c>
      <c r="C23" s="44">
        <v>17.5</v>
      </c>
      <c r="D23" s="11">
        <v>17.5</v>
      </c>
      <c r="E23" s="16"/>
    </row>
    <row r="24" spans="1:13" x14ac:dyDescent="0.4">
      <c r="A24" s="8" t="s">
        <v>91</v>
      </c>
      <c r="B24" s="9" t="s">
        <v>161</v>
      </c>
      <c r="C24" s="44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4">
        <v>10</v>
      </c>
      <c r="D25" s="11">
        <f>IF(OR(C24 = 0, ISBLANK(C24), ISBLANK(C23)), "", MAX(C24*(20 - C23), 0))</f>
        <v>10</v>
      </c>
    </row>
    <row r="26" spans="1:13" x14ac:dyDescent="0.4">
      <c r="A26" s="37">
        <f>MAX(C19:D19) + C22*TIME(0, C23, 0) + IF(C24 &gt; 0, TIME(0, C25, 0)*FLOOR((C22 - IF(C21="Yes", 3, 2))/C24, 1), 0)</f>
        <v>0.54999999999999993</v>
      </c>
      <c r="B26" s="9" t="s">
        <v>81</v>
      </c>
      <c r="C26" s="14">
        <f>IF(COUNTBLANK(C15:C25) &gt; 2, "N/A", A26 + IF(A26&gt;C15, TIME(0, MAX(0, C16 - C25), 0), 0))</f>
        <v>0.56388888888888877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2" customFormat="1" x14ac:dyDescent="0.4">
      <c r="A28" s="34" t="s">
        <v>97</v>
      </c>
      <c r="B28" s="31" t="s">
        <v>64</v>
      </c>
      <c r="C28" s="45" t="s">
        <v>168</v>
      </c>
      <c r="D28" s="46" t="s">
        <v>169</v>
      </c>
      <c r="K28" s="33"/>
      <c r="L28" s="33"/>
      <c r="M28" s="33"/>
    </row>
    <row r="29" spans="1:13" s="32" customFormat="1" x14ac:dyDescent="0.4">
      <c r="A29" s="34" t="s">
        <v>98</v>
      </c>
      <c r="B29" s="31" t="s">
        <v>65</v>
      </c>
      <c r="C29" s="45" t="s">
        <v>170</v>
      </c>
      <c r="D29" s="46" t="s">
        <v>171</v>
      </c>
      <c r="K29" s="33"/>
      <c r="L29" s="33"/>
      <c r="M29" s="33"/>
    </row>
    <row r="30" spans="1:13" s="32" customFormat="1" x14ac:dyDescent="0.4">
      <c r="A30" s="34" t="s">
        <v>99</v>
      </c>
      <c r="B30" s="31" t="s">
        <v>70</v>
      </c>
      <c r="C30" s="45" t="s">
        <v>172</v>
      </c>
      <c r="D30" s="46" t="s">
        <v>173</v>
      </c>
      <c r="K30" s="33"/>
      <c r="L30" s="33"/>
      <c r="M30" s="33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2" customFormat="1" ht="15.45" customHeight="1" x14ac:dyDescent="0.4">
      <c r="A33" s="34" t="s">
        <v>94</v>
      </c>
      <c r="B33" s="31" t="s">
        <v>150</v>
      </c>
      <c r="C33" s="32" t="s">
        <v>163</v>
      </c>
      <c r="D33" s="33" t="s">
        <v>174</v>
      </c>
      <c r="E33" s="32" t="s">
        <v>175</v>
      </c>
      <c r="F33" s="32" t="s">
        <v>176</v>
      </c>
      <c r="K33" s="33"/>
      <c r="L33" s="33"/>
      <c r="M33" s="33"/>
    </row>
    <row r="34" spans="1:13" s="32" customFormat="1" ht="15.45" customHeight="1" x14ac:dyDescent="0.4">
      <c r="A34" s="34" t="s">
        <v>180</v>
      </c>
      <c r="B34" s="31" t="s">
        <v>164</v>
      </c>
      <c r="D34" s="33"/>
      <c r="K34" s="33"/>
      <c r="L34" s="33"/>
      <c r="M34" s="33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5">
        <v>2</v>
      </c>
      <c r="D38" s="11">
        <f>IF(OR(ISBLANK(C20), COUNTBLANK(C23:C25) &gt; 0), "N/A", CEILING(3/2*C20*C35/(C23+C25/C24), 1))</f>
        <v>2</v>
      </c>
    </row>
    <row r="39" spans="1:13" x14ac:dyDescent="0.4">
      <c r="A39" s="8" t="s">
        <v>153</v>
      </c>
      <c r="B39" s="9" t="s">
        <v>155</v>
      </c>
      <c r="C39" s="30" t="s">
        <v>145</v>
      </c>
    </row>
    <row r="40" spans="1:13" x14ac:dyDescent="0.4">
      <c r="A40" s="8" t="s">
        <v>157</v>
      </c>
      <c r="B40" s="9" t="s">
        <v>162</v>
      </c>
      <c r="C40" s="29">
        <v>10</v>
      </c>
    </row>
    <row r="41" spans="1:13" s="33" customFormat="1" x14ac:dyDescent="0.4">
      <c r="A41" s="34" t="s">
        <v>105</v>
      </c>
      <c r="B41" s="31" t="s">
        <v>104</v>
      </c>
      <c r="C41" s="33" t="s">
        <v>177</v>
      </c>
      <c r="D41" s="33" t="s">
        <v>178</v>
      </c>
    </row>
    <row r="42" spans="1:13" s="33" customFormat="1" x14ac:dyDescent="0.4">
      <c r="A42" s="34" t="s">
        <v>140</v>
      </c>
      <c r="B42" s="31" t="s">
        <v>156</v>
      </c>
      <c r="D42" s="33" t="s">
        <v>179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2019-05-19T19:57:26Z</dcterms:modified>
</cp:coreProperties>
</file>