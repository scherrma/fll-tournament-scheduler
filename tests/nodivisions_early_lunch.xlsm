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AA4B196F-A791-4557-B145-663C5E81AE65}" xr6:coauthVersionLast="43" xr6:coauthVersionMax="43" xr10:uidLastSave="{00000000-0000-0000-0000-000000000000}"/>
  <bookViews>
    <workbookView xWindow="1063" yWindow="1063" windowWidth="19286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<sst xmlns="http://schemas.openxmlformats.org/spreadsheetml/2006/main" count="269" uniqueCount="263">
  <si>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</si>
  <si>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</si>
  <si>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</si>
  <si>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</si>
  <si>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</si>
  <si>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</si>
  <si>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</si>
  <si>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</si>
  <si>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</si>
  <si>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</si>
  <si>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</si>
  <si>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</si>
  <si>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</si>
  <si>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</si>
  <si>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</si>
  <si>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</si>
  <si>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</si>
  <si>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</si>
  <si>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</si>
  <si>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</si>
  <si>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</si>
  <si>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</si>
  <si>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</si>
  <si>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</si>
  <si>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</si>
  <si>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</si>
  <si>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</si>
  <si>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</si>
  <si>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</si>
  <si>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</si>
  <si>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</si>
  <si>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</si>
  <si>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</si>
  <si>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</si>
  <si>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</si>
  <si>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</si>
  <si>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</si>
  <si>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</si>
  <si>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</si>
  <si>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</si>
  <si>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</si>
  <si>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</si>
  <si>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</si>
  <si>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</si>
  <si>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</si>
  <si>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</si>
  <si>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</si>
  <si>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</si>
  <si>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</si>
  <si>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</si>
  <si>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</si>
  <si>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</si>
  <si>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</si>
  <si>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</si>
  <si>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</si>
  <si>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</si>
  <si>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</si>
  <si>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</si>
  <si>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</si>
  <si>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</si>
  <si>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</si>
  <si>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</si>
  <si>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</si>
  <si>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</si>
  <si>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</si>
  <si>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</si>
  <si>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</si>
  <si>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</si>
  <si>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</si>
  <si>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</si>
  <si>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</si>
  <si>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</si>
  <si>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</si>
  <si>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</si>
  <si>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</si>
  <si>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</si>
  <si>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</si>
  <si>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</si>
  <si>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</si>
  <si>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</si>
  <si>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</si>
  <si>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</si>
  <si>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</si>
  <si>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</si>
  <si>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</si>
  <si>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</si>
  <si>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</si>
  <si>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</si>
  <si>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</si>
  <si>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</si>
  <si>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</si>
  <si>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</si>
  <si>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</si>
  <si>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</si>
  <si>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</si>
  <si>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</si>
  <si>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</si>
  <si>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</si>
  <si>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</si>
  <si>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</si>
  <si>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</si>
  <si>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</si>
  <si>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</si>
  <si>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</si>
  <si>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</si>
  <si>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</si>
  <si>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</si>
  <si>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</si>
  <si>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</si>
  <si>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</si>
  <si>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</si>
  <si>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</si>
  <si>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</si>
  <si>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</si>
  <si>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</si>
  <si>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</si>
  <si>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</si>
  <si>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</si>
  <si>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</si>
  <si>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</si>
  <si>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</si>
  <si>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</si>
  <si>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</si>
  <si>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</si>
  <si>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</si>
  <si>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</si>
  <si>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</si>
  <si>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</si>
  <si>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</si>
  <si>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</si>
  <si>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</si>
  <si>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</si>
  <si>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</si>
  <si>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</si>
  <si>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</si>
  <si>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</si>
  <si>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</si>
  <si>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</si>
  <si>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</si>
  <si>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</si>
  <si>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</si>
  <si>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</si>
  <si>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</si>
  <si>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</si>
  <si>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</si>
  <si>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</si>
  <si>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</si>
  <si>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</si>
  <si>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</si>
  <si>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</si>
  <si>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</si>
  <si>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</si>
  <si>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</si>
  <si>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</si>
  <si>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</si>
  <si>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</si>
  <si>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</si>
  <si>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</si>
  <si>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</si>
  <si>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</si>
  <si>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</si>
  <si>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</si>
  <si>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</si>
  <si>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</si>
  <si>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</si>
  <si>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</si>
  <si>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</si>
  <si>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</si>
  <si>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</si>
  <si>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</si>
  <si>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</si>
  <si>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</si>
  <si>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</si>
  <si>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</si>
  <si>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</si>
  <si>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</si>
  <si>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</si>
  <si>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</si>
  <si>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</si>
  <si>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</si>
  <si>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</si>
  <si>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</si>
  <si>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</si>
  <si>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</si>
  <si>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</si>
  <si>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</si>
  <si>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</si>
  <si>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</si>
  <si>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</si>
  <si>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</si>
  <si>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</si>
  <si>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</si>
  <si>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</si>
  <si>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</si>
  <si>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</si>
  <si>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</si>
  <si>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</si>
  <si>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</si>
  <si>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</si>
  <si>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</si>
  <si>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</si>
  <si>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</si>
  <si>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</si>
  <si>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</si>
  <si>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</si>
  <si>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</si>
  <si>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</si>
  <si>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</si>
  <si>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</si>
  <si>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</si>
  <si>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</si>
  <si>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</si>
  <si>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</si>
  <si>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</si>
  <si>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</si>
  <si>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</si>
  <si>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</si>
  <si>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</si>
  <si>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</si>
  <si>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</si>
  <si>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</si>
  <si>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</si>
  <si>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</si>
  <si>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</si>
  <si>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</si>
  <si>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</si>
  <si>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</si>
  <si>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</si>
  <si>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</si>
  <si>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</si>
  <si>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</si>
  <si>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</si>
  <si>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</si>
  <si>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</si>
  <si>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</si>
  <si>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</si>
  <si>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</si>
  <si>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</si>
  <si>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</si>
  <si>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</si>
  <si>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</si>
  <si>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</si>
  <si>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</si>
  <si>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</si>
  <si>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</si>
  <si>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</si>
  <si>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</si>
  <si>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</si>
  <si>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</si>
  <si>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</si>
  <si>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</si>
  <si>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</si>
  <si>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</si>
  <si>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</si>
  <si>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</si>
  <si>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</si>
  <si>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</si>
  <si>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Hubert</t>
  </si>
  <si>
    <t>Louis</t>
  </si>
  <si>
    <t>Green</t>
  </si>
  <si>
    <t>Dewford</t>
  </si>
  <si>
    <t>Red</t>
  </si>
  <si>
    <t>nodivisions early lunch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</si>
</sst>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230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1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" sqref="C2:J2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 t="s">
        <v>262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0.61180555555555549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 t="s">
        <v>239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224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 t="s">
        <v>240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227</v>
      </c>
      <c r="B14" s="10" t="s">
        <v>234</v>
      </c>
      <c r="C14" s="6">
        <v>0.41666666666666669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228</v>
      </c>
      <c r="B15" s="10" t="s">
        <v>235</v>
      </c>
      <c r="C15" s="6">
        <v>0.9375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225</v>
      </c>
      <c r="B16" s="10" t="s">
        <v>236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221</v>
      </c>
      <c r="B17" s="14"/>
      <c r="H17" s="36"/>
      <c r="J17" s="36"/>
    </row>
    <row r="18" spans="1:13" x14ac:dyDescent="0.4">
      <c r="A18" s="9" t="s">
        <v>222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>
        <v>0.39583333333333331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88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89</v>
      </c>
      <c r="B21" s="10" t="s">
        <v>75</v>
      </c>
      <c r="C21" s="31" t="s">
        <v>221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223</v>
      </c>
      <c r="B22" s="10" t="s">
        <v>82</v>
      </c>
      <c r="C22" s="18">
        <f>IF(ISBLANK(C20), "N/A", IF(C21="Yes",1+_xlfn.CEILING.MATH((C3-1)/C20), _xlfn.CEILING.MATH(C3/C20)))</f>
        <v>11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91</v>
      </c>
      <c r="B24" s="10" t="s">
        <v>237</v>
      </c>
      <c r="C24" s="5">
        <v>4</v>
      </c>
      <c r="D24" s="12">
        <v>3</v>
      </c>
    </row>
    <row r="25" spans="1:13" x14ac:dyDescent="0.4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 x14ac:dyDescent="0.4">
      <c r="A26" s="38">
        <f>MAX(C19:D19) + C22*TIME(0, C23, 0) + IF(C24 &gt; 0, TIME(0, C25, 0)*FLOOR((C22 - IF(C21="Yes", 3, 2))/C24, 1), 0)</f>
        <v>0.54791666666666661</v>
      </c>
      <c r="B26" s="10" t="s">
        <v>81</v>
      </c>
      <c r="C26" s="15">
        <f>IF(COUNTBLANK(C15:C25) &gt; 2, "N/A", A26 + IF(A26&gt;C15, TIME(0, MAX(0, C16 - C25), 0), 0))</f>
        <v>0.54791666666666661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C28" s="33" t="s">
        <v>241</v>
      </c>
      <c r="D28" s="34" t="s">
        <v>242</v>
      </c>
      <c r="E28" s="33" t="s">
        <v>243</v>
      </c>
      <c r="F28" s="33" t="s">
        <v>244</v>
      </c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C29" s="33" t="s">
        <v>245</v>
      </c>
      <c r="D29" s="34" t="s">
        <v>246</v>
      </c>
      <c r="E29" s="33" t="s">
        <v>247</v>
      </c>
      <c r="F29" s="33" t="s">
        <v>248</v>
      </c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C30" s="33" t="s">
        <v>249</v>
      </c>
      <c r="D30" s="34" t="s">
        <v>250</v>
      </c>
      <c r="E30" s="33" t="s">
        <v>251</v>
      </c>
      <c r="F30" s="33" t="s">
        <v>252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226</v>
      </c>
      <c r="C33" s="33" t="s">
        <v>253</v>
      </c>
      <c r="D33" s="34" t="s">
        <v>254</v>
      </c>
      <c r="E33" s="33" t="s">
        <v>255</v>
      </c>
      <c r="F33" s="33" t="s">
        <v>256</v>
      </c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229</v>
      </c>
      <c r="B38" s="10" t="s">
        <v>231</v>
      </c>
      <c r="C38" s="31" t="s">
        <v>222</v>
      </c>
    </row>
    <row r="39" spans="1:13" x14ac:dyDescent="0.4">
      <c r="A39" s="9" t="s">
        <v>233</v>
      </c>
      <c r="B39" s="10" t="s">
        <v>238</v>
      </c>
      <c r="C39" s="30">
        <v>10</v>
      </c>
    </row>
    <row r="40" spans="1:13" s="34" customFormat="1" x14ac:dyDescent="0.4">
      <c r="A40" s="35" t="s">
        <v>105</v>
      </c>
      <c r="B40" s="32" t="s">
        <v>104</v>
      </c>
      <c r="C40" s="34" t="s">
        <v>257</v>
      </c>
      <c r="D40" s="34" t="s">
        <v>258</v>
      </c>
      <c r="E40" s="34" t="s">
        <v>259</v>
      </c>
    </row>
    <row r="41" spans="1:13" s="34" customFormat="1" x14ac:dyDescent="0.4">
      <c r="A41" s="35" t="s">
        <v>140</v>
      </c>
      <c r="B41" s="32" t="s">
        <v>232</v>
      </c>
      <c r="D41" s="34" t="s">
        <v>260</v>
      </c>
      <c r="E41" s="34" t="s">
        <v>261</v>
      </c>
    </row>
  </sheetData>
  <sheetProtection sheet="1" selectLockedCells="1"/>
  <mergeCells count="3">
    <mergeCell ref="E3:I3"/>
    <mergeCell ref="D6:L7"/>
    <mergeCell ref="C2:J2"/>
  </mergeCells>
  <conditionalFormatting sqref="A28:B30 G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4:B34 G34:XFD34">
    <cfRule type="expression" dxfId="15" priority="14">
      <formula>AND(COLUMN() - 4 &lt; COUNTA(A$34:$C$34), COLUMN() &gt; 2, NOT(ISBLANK(A33)))</formula>
    </cfRule>
  </conditionalFormatting>
  <conditionalFormatting sqref="A40:B40 F40:XFD40">
    <cfRule type="expression" dxfId="14" priority="23">
      <formula>AND(COLUMN() - 2 &gt; $C$37, NOT(ISBLANK(A40)))</formula>
    </cfRule>
    <cfRule type="expression" dxfId="13" priority="24">
      <formula>AND(COLUMN() &gt; 2, COLUMN()  - 3 &lt; $C$37, NOT(ISBLANK(A40)))</formula>
    </cfRule>
    <cfRule type="expression" dxfId="12" priority="25">
      <formula>AND(COLUMN() &gt; 2, COLUMN() - 3 &lt; $C$37)</formula>
    </cfRule>
  </conditionalFormatting>
  <conditionalFormatting sqref="A41:B41 F41:XFD41">
    <cfRule type="expression" dxfId="11" priority="26">
      <formula>AND(OR(ISBLANK(A40), COLUMN() - 2 &gt; $C$37), NOT(ISBLANK(A41)))</formula>
    </cfRule>
    <cfRule type="expression" dxfId="10" priority="27">
      <formula>AND(COLUMN() &gt; 2, COLUMN() - 3 &lt; $C$37, NOT(ISBLANK(A40)))</formula>
    </cfRule>
  </conditionalFormatting>
  <conditionalFormatting sqref="C28:F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0:E40">
    <cfRule type="expression" dxfId="4" priority="1">
      <formula>AND(COLUMN() - 2 &gt; $C$37, NOT(ISBLANK(C40)))</formula>
    </cfRule>
    <cfRule type="expression" dxfId="3" priority="2">
      <formula>AND(COLUMN() &gt; 2, COLUMN()  - 3 &lt; $C$37, NOT(ISBLANK(C40)))</formula>
    </cfRule>
    <cfRule type="expression" dxfId="2" priority="3">
      <formula>AND(COLUMN() &gt; 2, COLUMN() - 3 &lt; $C$37)</formula>
    </cfRule>
  </conditionalFormatting>
  <conditionalFormatting sqref="C41:E41">
    <cfRule type="expression" dxfId="1" priority="4">
      <formula>AND(OR(ISBLANK(C40), COLUMN() - 2 &gt; $C$37), NOT(ISBLANK(C41)))</formula>
    </cfRule>
    <cfRule type="expression" dxfId="0" priority="5">
      <formula>AND(COLUMN() &gt; 2, COLUMN() - 3 &lt; $C$37, NOT(ISBLANK(C40)))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2019-05-05T23:51:06Z</dcterms:modified>
</cp:coreProperties>
</file>