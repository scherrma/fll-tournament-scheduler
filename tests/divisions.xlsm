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FA5DEE7-44FA-4478-A069-0BD530379979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<sst xmlns="http://schemas.openxmlformats.org/spreadsheetml/2006/main" count="271" uniqueCount="265">
  <si>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</si>
  <si>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</si>
  <si>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</si>
  <si>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</si>
  <si>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</si>
  <si>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</si>
  <si>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</si>
  <si>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</si>
  <si>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</si>
  <si>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</si>
  <si>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</si>
  <si>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</si>
  <si>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</si>
  <si>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</si>
  <si>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</si>
  <si>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</si>
  <si>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</si>
  <si>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</si>
  <si>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</si>
  <si>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</si>
  <si>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</si>
  <si>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</si>
  <si>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</si>
  <si>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</si>
  <si>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</si>
  <si>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</si>
  <si>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</si>
  <si>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</si>
  <si>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</si>
  <si>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</si>
  <si>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</si>
  <si>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</si>
  <si>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</si>
  <si>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</si>
  <si>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</si>
  <si>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</si>
  <si>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</si>
  <si>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</si>
  <si>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</si>
  <si>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</si>
  <si>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</si>
  <si>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</si>
  <si>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</si>
  <si>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</si>
  <si>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</si>
  <si>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</si>
  <si>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</si>
  <si>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</si>
  <si>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</si>
  <si>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</si>
  <si>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</si>
  <si>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</si>
  <si>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</si>
  <si>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</si>
  <si>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</si>
  <si>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</si>
  <si>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</si>
  <si>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</si>
  <si>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</si>
  <si>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</si>
  <si>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</si>
  <si>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</si>
  <si>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</si>
  <si>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</si>
  <si>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</si>
  <si>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</si>
  <si>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</si>
  <si>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</si>
  <si>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</si>
  <si>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</si>
  <si>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</si>
  <si>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</si>
  <si>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</si>
  <si>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</si>
  <si>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</si>
  <si>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</si>
  <si>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</si>
  <si>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</si>
  <si>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</si>
  <si>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</si>
  <si>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</si>
  <si>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</si>
  <si>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</si>
  <si>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</si>
  <si>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</si>
  <si>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</si>
  <si>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</si>
  <si>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</si>
  <si>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</si>
  <si>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</si>
  <si>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</si>
  <si>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</si>
  <si>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</si>
  <si>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</si>
  <si>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</si>
  <si>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</si>
  <si>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</si>
  <si>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</si>
  <si>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</si>
  <si>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</si>
  <si>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</si>
  <si>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</si>
  <si>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</si>
  <si>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</si>
  <si>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</si>
  <si>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</si>
  <si>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</si>
  <si>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</si>
  <si>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</si>
  <si>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</si>
  <si>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</si>
  <si>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</si>
  <si>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</si>
  <si>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</si>
  <si>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</si>
  <si>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</si>
  <si>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</si>
  <si>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</si>
  <si>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</si>
  <si>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</si>
  <si>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</si>
  <si>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</si>
  <si>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</si>
  <si>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</si>
  <si>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</si>
  <si>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</si>
  <si>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</si>
  <si>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</si>
  <si>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</si>
  <si>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</si>
  <si>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</si>
  <si>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</si>
  <si>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</si>
  <si>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</si>
  <si>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</si>
  <si>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</si>
  <si>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</si>
  <si>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</si>
  <si>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</si>
  <si>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</si>
  <si>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</si>
  <si>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</si>
  <si>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</si>
  <si>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</si>
  <si>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</si>
  <si>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</si>
  <si>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</si>
  <si>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</si>
  <si>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</si>
  <si>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</si>
  <si>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</si>
  <si>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</si>
  <si>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</si>
  <si>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</si>
  <si>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</si>
  <si>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</si>
  <si>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</si>
  <si>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</si>
  <si>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</si>
  <si>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</si>
  <si>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</si>
  <si>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</si>
  <si>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</si>
  <si>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</si>
  <si>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</si>
  <si>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</si>
  <si>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</si>
  <si>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</si>
  <si>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</si>
  <si>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</si>
  <si>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</si>
  <si>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</si>
  <si>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</si>
  <si>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</si>
  <si>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</si>
  <si>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</si>
  <si>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</si>
  <si>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</si>
  <si>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</si>
  <si>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</si>
  <si>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</si>
  <si>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</si>
  <si>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</si>
  <si>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</si>
  <si>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</si>
  <si>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</si>
  <si>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</si>
  <si>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</si>
  <si>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</si>
  <si>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</si>
  <si>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</si>
  <si>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</si>
  <si>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</si>
  <si>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</si>
  <si>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</si>
  <si>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</si>
  <si>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</si>
  <si>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</si>
  <si>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</si>
  <si>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</si>
  <si>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</si>
  <si>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</si>
  <si>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</si>
  <si>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</si>
  <si>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</si>
  <si>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</si>
  <si>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</si>
  <si>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</si>
  <si>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</si>
  <si>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</si>
  <si>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</si>
  <si>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</si>
  <si>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</si>
  <si>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</si>
  <si>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</si>
  <si>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</si>
  <si>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</si>
  <si>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</si>
  <si>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</si>
  <si>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</si>
  <si>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</si>
  <si>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</si>
  <si>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</si>
  <si>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</si>
  <si>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</si>
  <si>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</si>
  <si>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</si>
  <si>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</si>
  <si>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</si>
  <si>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</si>
  <si>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</si>
  <si>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</si>
  <si>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</si>
  <si>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</si>
  <si>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</si>
  <si>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</si>
  <si>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</si>
  <si>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</si>
  <si>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</si>
  <si>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</si>
  <si>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divisions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</si>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</sst>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34" sqref="C34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5" t="s">
        <v>240</v>
      </c>
      <c r="D2" s="55"/>
      <c r="E2" s="55"/>
      <c r="F2" s="55"/>
      <c r="G2" s="55"/>
      <c r="H2" s="55"/>
      <c r="I2" s="55"/>
      <c r="J2" s="55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3">
        <f>IF(OR(ISBLANK(C38),C26="N/A"),"N/A",C26+TIME(0,C16-C23,0)+TIME(0,E35,0)+(CEILING(C3/(2*C38),1)+IF(C40&gt;0,FLOOR(C3/(2*C40),1),0))*(TIME(0,SUM(F35:K35),0)))</f>
        <v>0.62569444444444433</v>
      </c>
    </row>
    <row r="6" spans="1:13" x14ac:dyDescent="0.4">
      <c r="A6" s="8" t="s">
        <v>86</v>
      </c>
      <c r="B6" s="9" t="s">
        <v>67</v>
      </c>
      <c r="C6" s="5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3"/>
      <c r="E7" s="54"/>
      <c r="F7" s="54"/>
      <c r="G7" s="54"/>
      <c r="H7" s="54"/>
      <c r="I7" s="54"/>
      <c r="J7" s="54"/>
      <c r="K7" s="54"/>
      <c r="L7" s="54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241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242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0.39583333333333331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0.54791666666666661</v>
      </c>
      <c r="B26" s="9" t="s">
        <v>81</v>
      </c>
      <c r="C26" s="14">
        <f>IF(COUNTBLANK(C15:C25) &gt; 2, "N/A", A26 + IF(A26&gt;C15, TIME(0, MAX(0, C16 - C25), 0), 0))</f>
        <v>0.56180555555555545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243</v>
      </c>
      <c r="D28" s="44" t="s">
        <v>244</v>
      </c>
      <c r="E28" s="43" t="s">
        <v>245</v>
      </c>
      <c r="F28" s="43" t="s">
        <v>246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247</v>
      </c>
      <c r="D29" s="44" t="s">
        <v>248</v>
      </c>
      <c r="E29" s="43" t="s">
        <v>249</v>
      </c>
      <c r="F29" s="43" t="s">
        <v>250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251</v>
      </c>
      <c r="D30" s="44" t="s">
        <v>252</v>
      </c>
      <c r="E30" s="43" t="s">
        <v>253</v>
      </c>
      <c r="F30" s="43" t="s">
        <v>254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6" t="s">
        <v>255</v>
      </c>
      <c r="D33" s="47" t="s">
        <v>256</v>
      </c>
      <c r="E33" s="46" t="s">
        <v>257</v>
      </c>
      <c r="F33" s="46" t="s">
        <v>258</v>
      </c>
      <c r="K33" s="31"/>
      <c r="L33" s="31"/>
      <c r="M33" s="31"/>
    </row>
    <row r="34" spans="1:13" s="30" customFormat="1" ht="15.45" customHeight="1" x14ac:dyDescent="0.4">
      <c r="A34" s="32" t="s">
        <v>264</v>
      </c>
      <c r="B34" s="29" t="s">
        <v>239</v>
      </c>
      <c r="C34" s="45"/>
      <c r="D34" s="45"/>
      <c r="E34" s="45"/>
      <c r="F34" s="45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8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231</v>
      </c>
      <c r="C39" s="50" t="s">
        <v>222</v>
      </c>
    </row>
    <row r="40" spans="1:13" x14ac:dyDescent="0.4">
      <c r="A40" s="8" t="s">
        <v>233</v>
      </c>
      <c r="B40" s="9" t="s">
        <v>238</v>
      </c>
      <c r="C40" s="49">
        <v>10</v>
      </c>
    </row>
    <row r="41" spans="1:13" s="31" customFormat="1" x14ac:dyDescent="0.4">
      <c r="A41" s="32" t="s">
        <v>105</v>
      </c>
      <c r="B41" s="29" t="s">
        <v>104</v>
      </c>
      <c r="C41" s="51" t="s">
        <v>259</v>
      </c>
      <c r="D41" s="51" t="s">
        <v>260</v>
      </c>
      <c r="E41" s="51" t="s">
        <v>261</v>
      </c>
    </row>
    <row r="42" spans="1:13" s="31" customFormat="1" x14ac:dyDescent="0.4">
      <c r="A42" s="32" t="s">
        <v>140</v>
      </c>
      <c r="B42" s="29" t="s">
        <v>232</v>
      </c>
      <c r="C42" s="51"/>
      <c r="D42" s="51" t="s">
        <v>262</v>
      </c>
      <c r="E42" s="51" t="s">
        <v>263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5:XFD35 A34:B34 G34:XFD34">
    <cfRule type="expression" dxfId="15" priority="14">
      <formula>AND(COLUMN() &gt; 2, NOT(ISBLANK(A$33)))</formula>
    </cfRule>
  </conditionalFormatting>
  <conditionalFormatting sqref="A41:B41 F41:XFD41">
    <cfRule type="expression" dxfId="14" priority="23">
      <formula>AND(COLUMN() - 2 &gt; $C$38, NOT(ISBLANK(A41)))</formula>
    </cfRule>
    <cfRule type="expression" dxfId="13" priority="24">
      <formula>AND(COLUMN() &gt; 2, COLUMN()  - 3 &lt; $C$38, NOT(ISBLANK(A41)))</formula>
    </cfRule>
    <cfRule type="expression" dxfId="12" priority="25">
      <formula>AND(COLUMN() &gt; 2, COLUMN() - 3 &lt; $C$38)</formula>
    </cfRule>
  </conditionalFormatting>
  <conditionalFormatting sqref="A42:B42 F42:XFD42">
    <cfRule type="expression" dxfId="11" priority="26">
      <formula>AND(OR(ISBLANK(A41), COLUMN() - 2 &gt; $C$38), NOT(ISBLANK(A42)))</formula>
    </cfRule>
    <cfRule type="expression" dxfId="10" priority="27">
      <formula>AND(COLUMN() &gt; 2, COLUMN() - 3 &lt; $C$38, NOT(ISBLANK(A41)))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1:E41">
    <cfRule type="expression" dxfId="4" priority="1">
      <formula>AND(COLUMN() - 2 &gt; $C$38, NOT(ISBLANK(C41)))</formula>
    </cfRule>
    <cfRule type="expression" dxfId="3" priority="2">
      <formula>AND(COLUMN() &gt; 2, COLUMN()  - 3 &lt; $C$38, NOT(ISBLANK(C41)))</formula>
    </cfRule>
    <cfRule type="expression" dxfId="2" priority="3">
      <formula>AND(COLUMN() &gt; 2, COLUMN() - 3 &lt; $C$38)</formula>
    </cfRule>
  </conditionalFormatting>
  <conditionalFormatting sqref="C42:E42">
    <cfRule type="expression" dxfId="1" priority="4">
      <formula>AND(OR(ISBLANK(C41), COLUMN() - 2 &gt; $C$38), NOT(ISBLANK(C42)))</formula>
    </cfRule>
    <cfRule type="expression" dxfId="0" priority="5">
      <formula>AND(COLUMN() &gt; 2, COLUMN() - 3 &lt; $C$38, NOT(ISBLANK(C41)))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2019-05-19T19:57:04Z</dcterms:modified>
</cp:coreProperties>
</file>