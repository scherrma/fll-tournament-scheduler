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E235F777-055C-498E-8443-C4DA9B4651D7}" xr6:coauthVersionLast="43" xr6:coauthVersionMax="43" xr10:uidLastSave="{00000000-0000-0000-0000-000000000000}"/>
  <bookViews>
    <workbookView xWindow="-103" yWindow="-103" windowWidth="25920" windowHeight="16749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26" l="1"/>
  <c r="F39" i="26" l="1"/>
  <c r="G39" i="26"/>
  <c r="H39" i="26"/>
  <c r="I39" i="26"/>
  <c r="J39" i="26"/>
  <c r="K39" i="26"/>
  <c r="E39" i="26"/>
  <c r="D39" i="26"/>
  <c r="D22" i="26" l="1"/>
  <c r="C3" i="26"/>
  <c r="D17" i="26" l="1"/>
  <c r="D33" i="26" s="1"/>
  <c r="C19" i="26"/>
  <c r="C25" i="26" s="1"/>
  <c r="J3" i="26" s="1"/>
  <c r="D18" i="26"/>
</calcChain>
</file>

<file path=xl/sharedStrings.xml><?xml version="1.0" encoding="utf-8"?>
<sst xmlns="http://schemas.openxmlformats.org/spreadsheetml/2006/main" count="254" uniqueCount="250">
  <si>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</si>
  <si>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</si>
  <si>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</si>
  <si>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</si>
  <si>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</si>
  <si>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</si>
  <si>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</si>
  <si>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</si>
  <si>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</si>
  <si>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</si>
  <si>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</si>
  <si>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</si>
  <si>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</si>
  <si>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</si>
  <si>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</si>
  <si>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</si>
  <si>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</si>
  <si>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</si>
  <si>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</si>
  <si>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</si>
  <si>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</si>
  <si>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</si>
  <si>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</si>
  <si>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</si>
  <si>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</si>
  <si>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</si>
  <si>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</si>
  <si>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</si>
  <si>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</si>
  <si>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</si>
  <si>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</si>
  <si>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</si>
  <si>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</si>
  <si>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</si>
  <si>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</si>
  <si>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</si>
  <si>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</si>
  <si>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</si>
  <si>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</si>
  <si>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</si>
  <si>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</si>
  <si>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</si>
  <si>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</si>
  <si>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</si>
  <si>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</si>
  <si>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</si>
  <si>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</si>
  <si>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</si>
  <si>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</si>
  <si>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</si>
  <si>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</si>
  <si>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</si>
  <si>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</si>
  <si>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</si>
  <si>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</si>
  <si>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</si>
  <si>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</si>
  <si>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</si>
  <si>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</si>
  <si>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</si>
  <si>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</si>
  <si>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</si>
  <si>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</si>
  <si>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</si>
  <si>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</si>
  <si>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</si>
  <si>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</si>
  <si>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</si>
  <si>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</si>
  <si>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</si>
  <si>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</si>
  <si>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</si>
  <si>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</si>
  <si>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</si>
  <si>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</si>
  <si>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</si>
  <si>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</si>
  <si>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</si>
  <si>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</si>
  <si>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</si>
  <si>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</si>
  <si>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</si>
  <si>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</si>
  <si>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</si>
  <si>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</si>
  <si>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</si>
  <si>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</si>
  <si>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</si>
  <si>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</si>
  <si>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</si>
  <si>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</si>
  <si>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</si>
  <si>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</si>
  <si>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</si>
  <si>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</si>
  <si>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</si>
  <si>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</si>
  <si>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</si>
  <si>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</si>
  <si>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</si>
  <si>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</si>
  <si>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</si>
  <si>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</si>
  <si>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</si>
  <si>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</si>
  <si>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</si>
  <si>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</si>
  <si>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</si>
  <si>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</si>
  <si>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</si>
  <si>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</si>
  <si>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</si>
  <si>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</si>
  <si>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</si>
  <si>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</si>
  <si>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</si>
  <si>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</si>
  <si>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</si>
  <si>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</si>
  <si>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</si>
  <si>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</si>
  <si>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</si>
  <si>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</si>
  <si>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</si>
  <si>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</si>
  <si>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</si>
  <si>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</si>
  <si>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</si>
  <si>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</si>
  <si>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</si>
  <si>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</si>
  <si>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Round 1</t>
  </si>
  <si>
    <t>Round 2</t>
  </si>
  <si>
    <t>Round 3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</si>
  <si>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</si>
  <si>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</si>
  <si>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</si>
  <si>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</si>
  <si>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</si>
  <si>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</si>
  <si>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</si>
  <si>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</si>
  <si>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</si>
  <si>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</si>
  <si>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</si>
  <si>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</si>
  <si>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</si>
  <si>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</si>
  <si>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</si>
  <si>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</si>
  <si>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</si>
  <si>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</si>
  <si>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</si>
  <si>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</si>
  <si>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</si>
  <si>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</si>
  <si>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</si>
  <si>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</si>
  <si>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</si>
  <si>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</si>
  <si>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</si>
  <si>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</si>
  <si>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</si>
  <si>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</si>
  <si>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</si>
  <si>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</si>
  <si>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</si>
  <si>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</si>
  <si>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</si>
  <si>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</si>
  <si>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</si>
  <si>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</si>
  <si>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</si>
  <si>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</si>
  <si>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</si>
  <si>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</si>
  <si>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</si>
  <si>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</si>
  <si>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</si>
  <si>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</si>
  <si>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</si>
  <si>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</si>
  <si>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</si>
  <si>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</si>
  <si>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</si>
  <si>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</si>
  <si>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Yes</t>
  </si>
  <si>
    <t>26-100</t>
  </si>
  <si>
    <t>18-380</t>
  </si>
  <si>
    <t>32-G415</t>
  </si>
  <si>
    <t>54-918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</si>
  <si>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</si>
  <si>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</si>
  <si>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</si>
  <si>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</si>
  <si>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</si>
  <si>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</si>
  <si>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</si>
  <si>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</si>
  <si>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</si>
  <si>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</si>
  <si>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</si>
  <si>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</si>
  <si>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bratkor@gmail.com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</si>
  <si>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</si>
  <si>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</si>
  <si>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</si>
  <si>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</si>
  <si>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</si>
  <si>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</si>
  <si>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</si>
  <si>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</si>
  <si>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</si>
  <si>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audeto@gmail.com</t>
  </si>
  <si>
    <t>alperf@gmail.com</t>
  </si>
  <si>
    <t>darrowt@gmail.com</t>
  </si>
  <si>
    <t>goldberga@gmail.com</t>
  </si>
  <si>
    <t>doej@gmail.com</t>
  </si>
  <si>
    <t>panayotouo@gmail.com</t>
  </si>
  <si>
    <t>kiselevu@gmail.com</t>
  </si>
  <si>
    <t>mesnikoffj@gmail.com</t>
  </si>
  <si>
    <t>penmanj@gmail.com</t>
  </si>
  <si>
    <t>wallingtont@gmail.com</t>
  </si>
  <si>
    <t>gambalec@gmail.com</t>
  </si>
  <si>
    <t>lehneh@gmail.com</t>
  </si>
  <si>
    <t>berridgem@gmail.com</t>
  </si>
  <si>
    <t>pothierj@gmail.com</t>
  </si>
  <si>
    <t>sakait@gmail.com</t>
  </si>
  <si>
    <t>hensonb@gmail.com</t>
  </si>
  <si>
    <t>coucho@gmail.com</t>
  </si>
  <si>
    <t>yeguls@gmail.com</t>
  </si>
  <si>
    <t>victorv@gmail.com</t>
  </si>
  <si>
    <t>opening_start</t>
  </si>
  <si>
    <t>opening_duration</t>
  </si>
  <si>
    <t>coach_start</t>
  </si>
  <si>
    <t>coach_duration</t>
  </si>
  <si>
    <t>Coaches' meeting 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</si>
  <si>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</si>
  <si>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</si>
  <si>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</si>
  <si>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</si>
  <si>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</si>
  <si>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Gymnasium</t>
  </si>
  <si>
    <t>coach_room</t>
  </si>
  <si>
    <t>Location of Coaches' meeting</t>
  </si>
  <si>
    <t>LAM 193</t>
  </si>
  <si>
    <t>Round Duration (min)</t>
  </si>
  <si>
    <t>Recommended Duration (min)</t>
  </si>
  <si>
    <t>The Fantastic Ants 0</t>
  </si>
  <si>
    <t>nondivision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</si>
</sst>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/>
    <xf numFmtId="0" fontId="5" fillId="3" borderId="0" xfId="0" applyFont="1" applyFill="1" applyAlignment="1">
      <alignment horizontal="right" vertical="center" indent="1"/>
    </xf>
    <xf numFmtId="0" fontId="3" fillId="3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 vertical="center" inden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18" fontId="4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18" fontId="0" fillId="3" borderId="0" xfId="0" applyNumberFormat="1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vertical="center"/>
    </xf>
    <xf numFmtId="0" fontId="0" fillId="3" borderId="1" xfId="0" applyFill="1" applyBorder="1" applyAlignment="1">
      <alignment horizontal="center" vertical="center"/>
    </xf>
    <xf numFmtId="18" fontId="0" fillId="3" borderId="1" xfId="0" applyNumberFormat="1" applyFill="1" applyBorder="1" applyAlignment="1">
      <alignment horizontal="center" vertical="center"/>
    </xf>
    <xf numFmtId="18" fontId="0" fillId="3" borderId="0" xfId="0" applyNumberFormat="1" applyFill="1" applyAlignment="1">
      <alignment vertical="center"/>
    </xf>
    <xf numFmtId="164" fontId="0" fillId="3" borderId="0" xfId="0" applyNumberFormat="1" applyFill="1" applyAlignment="1">
      <alignment horizontal="center"/>
    </xf>
    <xf numFmtId="0" fontId="4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7" fillId="0" borderId="0" xfId="1" applyAlignment="1">
      <alignment horizontal="center" vertical="center" wrapText="1"/>
    </xf>
    <xf numFmtId="0" fontId="0" fillId="3" borderId="0" xfId="0" applyFill="1" applyAlignment="1">
      <alignment horizontal="left" vertical="center" wrapText="1" indent="1"/>
    </xf>
    <xf numFmtId="21" fontId="0" fillId="3" borderId="0" xfId="0" applyNumberFormat="1" applyFill="1" applyAlignment="1">
      <alignment horizontal="left" vertical="center" wrapText="1" indent="1"/>
    </xf>
    <xf numFmtId="0" fontId="3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 indent="1"/>
    </xf>
    <xf numFmtId="0" fontId="0" fillId="3" borderId="0" xfId="0" applyFill="1" applyAlignment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2656114</xdr:colOff>
          <xdr:row>42</xdr:row>
          <xdr:rowOff>114300</xdr:rowOff>
        </xdr:from>
        <xdr:to>
          <xdr:col>7</xdr:col>
          <xdr:colOff>457200</xdr:colOff>
          <xdr:row>46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tabSelected="1" workbookViewId="0">
      <selection activeCell="G10" sqref="G10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191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29" t="s">
        <v>192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29" t="s">
        <v>193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29" t="s">
        <v>194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29" t="s">
        <v>195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29" t="s">
        <v>196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29" t="s">
        <v>197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29" t="s">
        <v>198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29" t="s">
        <v>199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29" t="s">
        <v>200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29" t="s">
        <v>201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29" t="s">
        <v>202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29" t="s">
        <v>204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29" t="s">
        <v>205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29" t="s">
        <v>206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29" t="s">
        <v>207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29" t="s">
        <v>208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29" t="s">
        <v>209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29" t="s">
        <v>210</v>
      </c>
      <c r="E19" s="1" t="s">
        <v>59</v>
      </c>
    </row>
    <row r="20" spans="1:10" customFormat="1" x14ac:dyDescent="0.4">
      <c r="A20" s="2">
        <v>38561</v>
      </c>
      <c r="B20" s="2" t="s">
        <v>120</v>
      </c>
      <c r="C20" s="2" t="s">
        <v>121</v>
      </c>
      <c r="D20" s="29" t="s">
        <v>211</v>
      </c>
      <c r="E20" s="2" t="s">
        <v>122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29" t="s">
        <v>212</v>
      </c>
      <c r="E21" s="1" t="s">
        <v>60</v>
      </c>
      <c r="F21"/>
      <c r="G21"/>
    </row>
    <row r="22" spans="1:10" x14ac:dyDescent="0.4">
      <c r="A22" s="2">
        <v>15289</v>
      </c>
      <c r="B22" s="2" t="s">
        <v>61</v>
      </c>
      <c r="C22" s="2" t="s">
        <v>79</v>
      </c>
      <c r="D22" s="29" t="s">
        <v>213</v>
      </c>
      <c r="E22" s="2" t="s">
        <v>98</v>
      </c>
      <c r="F22"/>
      <c r="G22"/>
    </row>
    <row r="23" spans="1:10" x14ac:dyDescent="0.4">
      <c r="A23" s="2">
        <v>26167</v>
      </c>
      <c r="B23" s="2" t="s">
        <v>62</v>
      </c>
      <c r="C23" s="2" t="s">
        <v>80</v>
      </c>
      <c r="D23" s="29" t="s">
        <v>214</v>
      </c>
      <c r="E23" s="2" t="s">
        <v>99</v>
      </c>
      <c r="F23"/>
      <c r="G23"/>
    </row>
    <row r="24" spans="1:10" x14ac:dyDescent="0.4">
      <c r="A24" s="2">
        <v>3539</v>
      </c>
      <c r="B24" s="2" t="s">
        <v>63</v>
      </c>
      <c r="C24" s="2" t="s">
        <v>81</v>
      </c>
      <c r="D24" s="29" t="s">
        <v>215</v>
      </c>
      <c r="E24" s="2" t="s">
        <v>100</v>
      </c>
      <c r="F24"/>
      <c r="G24"/>
    </row>
    <row r="25" spans="1:10" x14ac:dyDescent="0.4">
      <c r="A25" s="2">
        <v>42650</v>
      </c>
      <c r="B25" s="2" t="s">
        <v>64</v>
      </c>
      <c r="C25" s="2" t="s">
        <v>82</v>
      </c>
      <c r="D25" s="29" t="s">
        <v>216</v>
      </c>
      <c r="E25" s="2" t="s">
        <v>101</v>
      </c>
      <c r="F25"/>
      <c r="G25"/>
    </row>
    <row r="26" spans="1:10" x14ac:dyDescent="0.4">
      <c r="A26" s="2">
        <v>1313</v>
      </c>
      <c r="B26" s="2" t="s">
        <v>117</v>
      </c>
      <c r="C26" s="2" t="s">
        <v>118</v>
      </c>
      <c r="D26" s="29" t="s">
        <v>217</v>
      </c>
      <c r="E26" s="2" t="s">
        <v>100</v>
      </c>
      <c r="F26"/>
      <c r="G26"/>
    </row>
    <row r="27" spans="1:10" x14ac:dyDescent="0.4">
      <c r="A27" s="2">
        <v>25167</v>
      </c>
      <c r="B27" s="2" t="s">
        <v>65</v>
      </c>
      <c r="C27" s="2" t="s">
        <v>83</v>
      </c>
      <c r="D27" s="29" t="s">
        <v>218</v>
      </c>
      <c r="E27" s="2" t="s">
        <v>102</v>
      </c>
      <c r="F27"/>
      <c r="G27"/>
    </row>
    <row r="28" spans="1:10" x14ac:dyDescent="0.4">
      <c r="A28" s="2">
        <v>11795</v>
      </c>
      <c r="B28" s="2" t="s">
        <v>66</v>
      </c>
      <c r="C28" s="2" t="s">
        <v>84</v>
      </c>
      <c r="D28" s="29" t="s">
        <v>219</v>
      </c>
      <c r="E28" s="2" t="s">
        <v>103</v>
      </c>
      <c r="F28"/>
      <c r="G28"/>
    </row>
    <row r="29" spans="1:10" x14ac:dyDescent="0.4">
      <c r="A29" s="2">
        <v>45977</v>
      </c>
      <c r="B29" s="2" t="s">
        <v>67</v>
      </c>
      <c r="C29" s="2" t="s">
        <v>85</v>
      </c>
      <c r="D29" s="29" t="s">
        <v>220</v>
      </c>
      <c r="E29" s="2" t="s">
        <v>104</v>
      </c>
      <c r="F29"/>
      <c r="G29"/>
    </row>
    <row r="30" spans="1:10" x14ac:dyDescent="0.4">
      <c r="A30" s="2">
        <v>45822</v>
      </c>
      <c r="B30" s="2" t="s">
        <v>68</v>
      </c>
      <c r="C30" s="2" t="s">
        <v>86</v>
      </c>
      <c r="D30" s="29" t="s">
        <v>221</v>
      </c>
      <c r="E30" s="2" t="s">
        <v>105</v>
      </c>
      <c r="F30"/>
      <c r="G30"/>
    </row>
    <row r="31" spans="1:10" x14ac:dyDescent="0.4">
      <c r="A31" s="2">
        <v>24199</v>
      </c>
      <c r="B31" s="2" t="s">
        <v>69</v>
      </c>
      <c r="C31" s="2" t="s">
        <v>87</v>
      </c>
      <c r="D31" s="29" t="s">
        <v>222</v>
      </c>
      <c r="E31" s="2" t="s">
        <v>106</v>
      </c>
      <c r="F31"/>
      <c r="G31"/>
    </row>
    <row r="32" spans="1:10" x14ac:dyDescent="0.4">
      <c r="A32" s="2">
        <v>32148</v>
      </c>
      <c r="B32" s="2" t="s">
        <v>70</v>
      </c>
      <c r="C32" s="2" t="s">
        <v>88</v>
      </c>
      <c r="D32" s="29" t="s">
        <v>223</v>
      </c>
      <c r="E32" s="2" t="s">
        <v>107</v>
      </c>
      <c r="F32"/>
      <c r="G32"/>
    </row>
    <row r="33" spans="1:7" x14ac:dyDescent="0.4">
      <c r="A33" s="2">
        <v>18274</v>
      </c>
      <c r="B33" s="2" t="s">
        <v>71</v>
      </c>
      <c r="C33" s="2" t="s">
        <v>89</v>
      </c>
      <c r="D33" s="29" t="s">
        <v>224</v>
      </c>
      <c r="E33" s="2" t="s">
        <v>108</v>
      </c>
      <c r="F33"/>
      <c r="G33"/>
    </row>
    <row r="34" spans="1:7" x14ac:dyDescent="0.4">
      <c r="A34" s="2">
        <v>27828</v>
      </c>
      <c r="B34" s="2" t="s">
        <v>72</v>
      </c>
      <c r="C34" s="2" t="s">
        <v>90</v>
      </c>
      <c r="D34" s="29" t="s">
        <v>225</v>
      </c>
      <c r="E34" s="2" t="s">
        <v>109</v>
      </c>
      <c r="F34"/>
      <c r="G34"/>
    </row>
    <row r="35" spans="1:7" x14ac:dyDescent="0.4">
      <c r="A35" s="2">
        <v>8778</v>
      </c>
      <c r="B35" s="2" t="s">
        <v>73</v>
      </c>
      <c r="C35" s="2" t="s">
        <v>91</v>
      </c>
      <c r="D35" s="29" t="s">
        <v>226</v>
      </c>
      <c r="E35" s="2" t="s">
        <v>110</v>
      </c>
      <c r="F35"/>
      <c r="G35"/>
    </row>
    <row r="36" spans="1:7" x14ac:dyDescent="0.4">
      <c r="A36" s="2">
        <v>46561</v>
      </c>
      <c r="B36" s="2" t="s">
        <v>74</v>
      </c>
      <c r="C36" s="2" t="s">
        <v>92</v>
      </c>
      <c r="D36" s="29" t="s">
        <v>227</v>
      </c>
      <c r="E36" s="2" t="s">
        <v>111</v>
      </c>
      <c r="F36"/>
      <c r="G36"/>
    </row>
    <row r="37" spans="1:7" x14ac:dyDescent="0.4">
      <c r="A37" s="2">
        <v>24436</v>
      </c>
      <c r="B37" s="2" t="s">
        <v>75</v>
      </c>
      <c r="C37" s="2" t="s">
        <v>93</v>
      </c>
      <c r="D37" s="29" t="s">
        <v>228</v>
      </c>
      <c r="E37" s="2" t="s">
        <v>112</v>
      </c>
      <c r="F37"/>
      <c r="G37"/>
    </row>
    <row r="38" spans="1:7" x14ac:dyDescent="0.4">
      <c r="A38" s="2">
        <v>48988</v>
      </c>
      <c r="B38" s="2" t="s">
        <v>76</v>
      </c>
      <c r="C38" s="2" t="s">
        <v>94</v>
      </c>
      <c r="D38" s="29" t="s">
        <v>229</v>
      </c>
      <c r="E38" s="2" t="s">
        <v>113</v>
      </c>
      <c r="F38"/>
      <c r="G38"/>
    </row>
    <row r="39" spans="1:7" x14ac:dyDescent="0.4">
      <c r="A39" s="2">
        <v>41349</v>
      </c>
      <c r="B39" s="2" t="s">
        <v>77</v>
      </c>
      <c r="C39" s="2" t="s">
        <v>95</v>
      </c>
      <c r="D39" s="29" t="s">
        <v>230</v>
      </c>
      <c r="E39" s="2" t="s">
        <v>114</v>
      </c>
      <c r="F39"/>
      <c r="G39"/>
    </row>
    <row r="40" spans="1:7" x14ac:dyDescent="0.4">
      <c r="A40" s="2">
        <v>9392</v>
      </c>
      <c r="B40" s="2" t="s">
        <v>78</v>
      </c>
      <c r="C40" s="2" t="s">
        <v>96</v>
      </c>
      <c r="D40" s="29" t="s">
        <v>231</v>
      </c>
      <c r="E40" s="2" t="s">
        <v>115</v>
      </c>
      <c r="F40"/>
      <c r="G40"/>
    </row>
    <row r="41" spans="1:7" x14ac:dyDescent="0.4">
      <c r="A41" s="2">
        <v>48867</v>
      </c>
      <c r="B41" s="2" t="s">
        <v>119</v>
      </c>
      <c r="C41" s="2" t="s">
        <v>97</v>
      </c>
      <c r="D41" s="29" t="s">
        <v>203</v>
      </c>
      <c r="E41" s="2" t="s">
        <v>116</v>
      </c>
      <c r="F41"/>
      <c r="G41"/>
    </row>
    <row r="42" spans="1:7" x14ac:dyDescent="0.4">
      <c r="A42" s="2">
        <v>41348</v>
      </c>
      <c r="B42" s="2" t="s">
        <v>248</v>
      </c>
      <c r="C42" s="2" t="s">
        <v>95</v>
      </c>
      <c r="D42" s="29" t="s">
        <v>230</v>
      </c>
      <c r="E42" s="2" t="s">
        <v>114</v>
      </c>
    </row>
    <row r="43" spans="1:7" x14ac:dyDescent="0.4">
      <c r="D43" s="29"/>
    </row>
    <row r="44" spans="1:7" x14ac:dyDescent="0.4">
      <c r="D44" s="29"/>
    </row>
  </sheetData>
  <hyperlinks>
    <hyperlink ref="D2" r:id="rId1" xr:uid="{2B2CBC1E-F365-402C-B3E1-C699E971CC7B}"/>
    <hyperlink ref="D3" r:id="rId2" xr:uid="{79DFDB12-AE75-4A21-807E-98826C2D2704}"/>
    <hyperlink ref="D4" r:id="rId3" xr:uid="{B23A3DF1-CD87-459A-85CE-5CEA9A618D25}"/>
    <hyperlink ref="D5" r:id="rId4" xr:uid="{13284FC6-83E3-47A1-BE98-200C3C01EECF}"/>
    <hyperlink ref="D6" r:id="rId5" xr:uid="{D320AF55-A517-4D95-83B5-9667D12798E4}"/>
    <hyperlink ref="D7" r:id="rId6" xr:uid="{FC7346BB-3054-4BCA-A066-65471F546740}"/>
    <hyperlink ref="D8" r:id="rId7" xr:uid="{506946A7-73C2-437F-B035-B86A6D322E1B}"/>
    <hyperlink ref="D9" r:id="rId8" xr:uid="{079ECE44-901E-4BF1-B7F0-1C14FD95770C}"/>
    <hyperlink ref="D10" r:id="rId9" xr:uid="{05EAACC4-1190-4812-963D-5A3CD40065EC}"/>
    <hyperlink ref="D11" r:id="rId10" xr:uid="{4547DB87-D99B-47CB-8316-FC0F1CAA9980}"/>
    <hyperlink ref="D12" r:id="rId11" xr:uid="{C2C920C6-596A-40E2-897D-A31D36A3C333}"/>
    <hyperlink ref="D13" r:id="rId12" xr:uid="{A4B24E9B-1173-467C-B5BB-5EFB6C71019A}"/>
    <hyperlink ref="D14" r:id="rId13" xr:uid="{8C904269-5783-48C0-ACE1-ED94DFA97E36}"/>
    <hyperlink ref="D15" r:id="rId14" xr:uid="{E8780849-589F-4633-92BA-AAA03EEA24E6}"/>
    <hyperlink ref="D16" r:id="rId15" xr:uid="{85867FD4-9D4D-4B33-9670-9C70FC51C1A9}"/>
    <hyperlink ref="D17" r:id="rId16" xr:uid="{FF3B7B35-92FB-497B-A03C-FD2E731791A5}"/>
    <hyperlink ref="D18" r:id="rId17" xr:uid="{40C70412-9794-4043-BE9B-486C41305538}"/>
    <hyperlink ref="D19" r:id="rId18" xr:uid="{E13D2BD9-8AB7-4E09-9234-469F628D5768}"/>
    <hyperlink ref="D20" r:id="rId19" xr:uid="{C796E91F-C99A-4DDC-A739-6820E65F2EA2}"/>
    <hyperlink ref="D21" r:id="rId20" xr:uid="{51194B5B-6A32-4AC6-9447-8148B09B0B34}"/>
    <hyperlink ref="D22" r:id="rId21" xr:uid="{426744D1-7EF8-4D51-BDC2-73D92D56758B}"/>
    <hyperlink ref="D23" r:id="rId22" xr:uid="{ADB9584D-6577-4CB1-A277-1A4234B01696}"/>
    <hyperlink ref="D24" r:id="rId23" xr:uid="{FCC855B1-A036-467C-8485-AF730F6A4086}"/>
    <hyperlink ref="D25" r:id="rId24" xr:uid="{F1DD015A-5016-4FE4-9E89-AAE834BB8A0D}"/>
    <hyperlink ref="D26" r:id="rId25" xr:uid="{5665346F-C767-4056-8F36-B00E0737BDBB}"/>
    <hyperlink ref="D27" r:id="rId26" xr:uid="{804AB960-FD05-4F9D-904B-F7A36D2440E8}"/>
    <hyperlink ref="D28" r:id="rId27" xr:uid="{434B02BC-E313-4C1A-9EF1-207FC22FEA54}"/>
    <hyperlink ref="D29" r:id="rId28" xr:uid="{70995F80-F577-40A8-98BA-5AA7F2F1241D}"/>
    <hyperlink ref="D30" r:id="rId29" xr:uid="{9565B032-2BF5-4698-8A51-79B0DAE1DDE6}"/>
    <hyperlink ref="D31" r:id="rId30" xr:uid="{9B92663F-F56C-4D1F-9E07-D669D13AC7C8}"/>
    <hyperlink ref="D32" r:id="rId31" xr:uid="{1E2F8C43-BD3A-4421-877D-068E87BF2F21}"/>
    <hyperlink ref="D33" r:id="rId32" xr:uid="{B0FBA1DF-4FA8-4A73-981E-4A53612A07EF}"/>
    <hyperlink ref="D34" r:id="rId33" xr:uid="{81DD2C44-C0DC-49BD-9A58-2C78B798DD4C}"/>
    <hyperlink ref="D35" r:id="rId34" xr:uid="{A52C7516-0784-4715-B826-D95F2A551537}"/>
    <hyperlink ref="D36" r:id="rId35" xr:uid="{E19793AD-59A1-47C2-B0DA-75ACEAB60423}"/>
    <hyperlink ref="D37" r:id="rId36" xr:uid="{83EF1842-8FF4-4574-96AB-170AD504E232}"/>
    <hyperlink ref="D38" r:id="rId37" xr:uid="{BB0A81D1-67C4-4445-A725-76373E6BAE99}"/>
    <hyperlink ref="D39" r:id="rId38" xr:uid="{7830B1F6-0858-4198-AF2C-5E7A953B0141}"/>
    <hyperlink ref="D40" r:id="rId39" xr:uid="{5EC497A8-CF13-44AB-856D-4DDA059B6A8F}"/>
    <hyperlink ref="D41" r:id="rId40" xr:uid="{1EAB423C-6D06-494E-B11C-21C94BFAA418}"/>
    <hyperlink ref="D42" r:id="rId41" xr:uid="{95729788-A281-45B8-9491-3593107B62E7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opLeftCell="B2" workbookViewId="0">
      <selection activeCell="E11" sqref="E11"/>
    </sheetView>
  </sheetViews>
  <sheetFormatPr defaultRowHeight="14.6" x14ac:dyDescent="0.4"/>
  <cols>
    <col min="1" max="1" width="22.07421875" style="27" hidden="1" customWidth="1"/>
    <col min="2" max="2" width="69.07421875" style="8" customWidth="1"/>
    <col min="3" max="3" width="15.4609375" style="9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27" t="s">
        <v>178</v>
      </c>
      <c r="B1" s="8" t="s">
        <v>177</v>
      </c>
      <c r="C1" s="9" t="s">
        <v>179</v>
      </c>
    </row>
    <row r="2" spans="1:13" s="4" customFormat="1" ht="18.45" x14ac:dyDescent="0.5">
      <c r="A2" s="26" t="s">
        <v>172</v>
      </c>
      <c r="B2" s="5" t="s">
        <v>125</v>
      </c>
      <c r="C2" s="35" t="s">
        <v>249</v>
      </c>
      <c r="D2" s="35"/>
      <c r="E2" s="35"/>
      <c r="F2" s="35"/>
      <c r="G2" s="35"/>
      <c r="H2" s="35"/>
      <c r="I2" s="35"/>
      <c r="J2" s="35"/>
      <c r="K2" s="6"/>
      <c r="L2" s="6"/>
      <c r="M2" s="6"/>
    </row>
    <row r="3" spans="1:13" ht="15.9" x14ac:dyDescent="0.4">
      <c r="B3" s="8" t="s">
        <v>140</v>
      </c>
      <c r="C3" s="9">
        <f>COUNTA('Team Information'!A:A) - COUNTA('Team Information'!A1)</f>
        <v>41</v>
      </c>
      <c r="E3" s="32" t="s">
        <v>136</v>
      </c>
      <c r="F3" s="32"/>
      <c r="G3" s="32"/>
      <c r="H3" s="32"/>
      <c r="I3" s="32"/>
      <c r="J3" s="11">
        <f>C25 - TIME(0, C20, 0)  + TIME(0, C35, 0) + TIME(0, SUM(E38:L38), 0)*_xlfn.CEILING.MATH(C3/(2*C33))</f>
        <v>0.60949074074074083</v>
      </c>
    </row>
    <row r="6" spans="1:13" x14ac:dyDescent="0.4">
      <c r="A6" s="27" t="s">
        <v>158</v>
      </c>
      <c r="B6" s="8" t="s">
        <v>126</v>
      </c>
      <c r="C6" s="18" t="s">
        <v>127</v>
      </c>
      <c r="D6" s="33" t="s">
        <v>157</v>
      </c>
      <c r="E6" s="34"/>
      <c r="F6" s="34"/>
      <c r="G6" s="34"/>
      <c r="H6" s="34"/>
      <c r="I6" s="34"/>
      <c r="J6" s="34"/>
      <c r="K6" s="34"/>
      <c r="L6" s="34"/>
      <c r="M6" s="7"/>
    </row>
    <row r="7" spans="1:13" x14ac:dyDescent="0.4">
      <c r="A7" s="27" t="s">
        <v>159</v>
      </c>
      <c r="B7" s="8" t="s">
        <v>144</v>
      </c>
      <c r="C7" s="18">
        <v>12.5</v>
      </c>
      <c r="D7" s="33"/>
      <c r="E7" s="34"/>
      <c r="F7" s="34"/>
      <c r="G7" s="34"/>
      <c r="H7" s="34"/>
      <c r="I7" s="34"/>
      <c r="J7" s="34"/>
      <c r="K7" s="34"/>
      <c r="L7" s="34"/>
      <c r="M7" s="7"/>
    </row>
    <row r="8" spans="1:13" x14ac:dyDescent="0.4">
      <c r="A8" s="27" t="s">
        <v>232</v>
      </c>
      <c r="B8" s="8" t="s">
        <v>240</v>
      </c>
      <c r="C8" s="28">
        <v>0.35416666666666669</v>
      </c>
      <c r="D8" s="30"/>
      <c r="E8" s="30"/>
      <c r="F8" s="30"/>
      <c r="G8" s="30"/>
      <c r="H8" s="30"/>
      <c r="I8" s="30"/>
      <c r="J8" s="30"/>
      <c r="K8" s="30"/>
      <c r="L8" s="30"/>
      <c r="M8" s="7"/>
    </row>
    <row r="9" spans="1:13" x14ac:dyDescent="0.4">
      <c r="A9" s="27" t="s">
        <v>233</v>
      </c>
      <c r="B9" s="8" t="s">
        <v>239</v>
      </c>
      <c r="C9" s="18">
        <v>30</v>
      </c>
      <c r="D9" s="30"/>
      <c r="E9" s="30"/>
      <c r="F9" s="30"/>
      <c r="G9" s="30"/>
      <c r="H9" s="30"/>
      <c r="I9" s="30"/>
      <c r="J9" s="30"/>
      <c r="K9" s="30"/>
      <c r="L9" s="30"/>
      <c r="M9" s="7"/>
    </row>
    <row r="10" spans="1:13" x14ac:dyDescent="0.4">
      <c r="A10" s="27" t="s">
        <v>238</v>
      </c>
      <c r="B10" s="8" t="s">
        <v>241</v>
      </c>
      <c r="C10" s="18" t="s">
        <v>242</v>
      </c>
      <c r="D10" s="30"/>
      <c r="E10" s="30"/>
      <c r="F10" s="30"/>
      <c r="G10" s="30"/>
      <c r="H10" s="30"/>
      <c r="I10" s="30"/>
      <c r="J10" s="30"/>
      <c r="K10" s="30"/>
      <c r="L10" s="30"/>
      <c r="M10" s="7"/>
    </row>
    <row r="11" spans="1:13" x14ac:dyDescent="0.4">
      <c r="A11" s="27" t="s">
        <v>234</v>
      </c>
      <c r="B11" s="8" t="s">
        <v>237</v>
      </c>
      <c r="C11" s="28">
        <v>0.33333333333333331</v>
      </c>
      <c r="D11" s="30"/>
      <c r="E11" s="30"/>
      <c r="F11" s="30"/>
      <c r="G11" s="30"/>
      <c r="H11" s="30"/>
      <c r="I11" s="30"/>
      <c r="J11" s="30"/>
      <c r="K11" s="30"/>
      <c r="L11" s="30"/>
      <c r="M11" s="7"/>
    </row>
    <row r="12" spans="1:13" x14ac:dyDescent="0.4">
      <c r="A12" s="7" t="s">
        <v>235</v>
      </c>
      <c r="B12" s="8" t="s">
        <v>236</v>
      </c>
      <c r="C12" s="18">
        <v>15</v>
      </c>
      <c r="D12" s="31"/>
      <c r="E12" s="30"/>
      <c r="F12" s="30"/>
      <c r="G12" s="30"/>
      <c r="H12" s="30"/>
      <c r="I12" s="30"/>
      <c r="J12" s="30"/>
      <c r="K12" s="30"/>
      <c r="L12" s="30"/>
      <c r="M12" s="7"/>
    </row>
    <row r="13" spans="1:13" x14ac:dyDescent="0.4">
      <c r="A13" s="7" t="s">
        <v>243</v>
      </c>
      <c r="B13" s="8" t="s">
        <v>244</v>
      </c>
      <c r="C13" s="18" t="s">
        <v>245</v>
      </c>
      <c r="D13" s="31"/>
      <c r="E13" s="30"/>
      <c r="F13" s="30"/>
      <c r="G13" s="30"/>
      <c r="H13" s="30"/>
      <c r="I13" s="30"/>
      <c r="J13" s="30"/>
      <c r="K13" s="30"/>
      <c r="L13" s="30"/>
      <c r="M13" s="7"/>
    </row>
    <row r="14" spans="1:13" x14ac:dyDescent="0.4">
      <c r="A14" s="7"/>
      <c r="B14" s="12"/>
    </row>
    <row r="15" spans="1:13" x14ac:dyDescent="0.4">
      <c r="B15" s="12" t="s">
        <v>137</v>
      </c>
      <c r="D15" s="13" t="s">
        <v>128</v>
      </c>
    </row>
    <row r="16" spans="1:13" x14ac:dyDescent="0.4">
      <c r="A16" s="27" t="s">
        <v>176</v>
      </c>
      <c r="B16" s="8" t="s">
        <v>151</v>
      </c>
      <c r="C16" s="28">
        <v>0.375</v>
      </c>
      <c r="D16" s="23">
        <f>MAX(C8+TIME(0, C9, 0), C11 + TIME(0, C12, 0)) + TIME(0, C7, 0)</f>
        <v>0.38333333333333336</v>
      </c>
      <c r="E16" s="24"/>
    </row>
    <row r="17" spans="1:13" x14ac:dyDescent="0.4">
      <c r="A17" s="27" t="s">
        <v>160</v>
      </c>
      <c r="B17" s="8" t="s">
        <v>143</v>
      </c>
      <c r="C17" s="18">
        <v>4</v>
      </c>
      <c r="D17" s="22">
        <f>CEILING(C3/12, 1)</f>
        <v>4</v>
      </c>
      <c r="E17" s="21"/>
    </row>
    <row r="18" spans="1:13" x14ac:dyDescent="0.4">
      <c r="A18" s="27" t="s">
        <v>161</v>
      </c>
      <c r="B18" s="8" t="s">
        <v>141</v>
      </c>
      <c r="C18" s="18" t="s">
        <v>186</v>
      </c>
      <c r="D18" s="22" t="str">
        <f>IF(OR(MOD(C3, 2), C17 &gt; 2), "Yes", "No")</f>
        <v>Yes</v>
      </c>
      <c r="E18" s="21"/>
    </row>
    <row r="19" spans="1:13" x14ac:dyDescent="0.4">
      <c r="B19" s="8" t="s">
        <v>153</v>
      </c>
      <c r="C19" s="19">
        <f>IF(C18="Yes",1+_xlfn.CEILING.MATH((C3-1)/C17), _xlfn.CEILING.MATH(C3/C17))</f>
        <v>11</v>
      </c>
      <c r="D19" s="10" t="s">
        <v>154</v>
      </c>
      <c r="E19" s="21"/>
      <c r="F19" s="9"/>
    </row>
    <row r="20" spans="1:13" x14ac:dyDescent="0.4">
      <c r="A20" s="27" t="s">
        <v>162</v>
      </c>
      <c r="B20" s="8" t="s">
        <v>142</v>
      </c>
      <c r="C20" s="18">
        <v>17.5</v>
      </c>
      <c r="D20" s="10">
        <v>17.5</v>
      </c>
      <c r="E20" s="20"/>
    </row>
    <row r="21" spans="1:13" x14ac:dyDescent="0.4">
      <c r="A21" s="27" t="s">
        <v>163</v>
      </c>
      <c r="B21" s="8" t="s">
        <v>145</v>
      </c>
      <c r="C21" s="18">
        <v>3</v>
      </c>
      <c r="D21" s="10">
        <v>3</v>
      </c>
    </row>
    <row r="22" spans="1:13" x14ac:dyDescent="0.4">
      <c r="A22" s="27" t="s">
        <v>164</v>
      </c>
      <c r="B22" s="8" t="s">
        <v>146</v>
      </c>
      <c r="C22" s="18">
        <v>7.5</v>
      </c>
      <c r="D22" s="10">
        <f>MAX(C21*(20 - C20), 0)</f>
        <v>7.5</v>
      </c>
    </row>
    <row r="23" spans="1:13" x14ac:dyDescent="0.4">
      <c r="A23" s="27" t="s">
        <v>165</v>
      </c>
      <c r="B23" s="8" t="s">
        <v>147</v>
      </c>
      <c r="C23" s="28">
        <v>0.54166666666666663</v>
      </c>
      <c r="D23" s="14">
        <v>0.54166666666666663</v>
      </c>
    </row>
    <row r="24" spans="1:13" x14ac:dyDescent="0.4">
      <c r="A24" s="27" t="s">
        <v>166</v>
      </c>
      <c r="B24" s="8" t="s">
        <v>149</v>
      </c>
      <c r="C24" s="18">
        <v>45</v>
      </c>
      <c r="D24" s="10">
        <v>40</v>
      </c>
      <c r="K24" s="13"/>
      <c r="L24" s="13"/>
      <c r="M24" s="13"/>
    </row>
    <row r="25" spans="1:13" x14ac:dyDescent="0.4">
      <c r="B25" s="8" t="s">
        <v>152</v>
      </c>
      <c r="C25" s="25">
        <f>C16 + C19*((TIME(0, C20, 0) + TIME(0, C22, 0)/C21))</f>
        <v>0.52268518518518525</v>
      </c>
      <c r="K25" s="13"/>
      <c r="L25" s="13"/>
      <c r="M25" s="13"/>
    </row>
    <row r="26" spans="1:13" x14ac:dyDescent="0.4">
      <c r="C26" s="25"/>
      <c r="K26" s="13"/>
      <c r="L26" s="13"/>
      <c r="M26" s="13"/>
    </row>
    <row r="27" spans="1:13" s="15" customFormat="1" x14ac:dyDescent="0.4">
      <c r="A27" s="27" t="s">
        <v>173</v>
      </c>
      <c r="B27" s="8" t="s">
        <v>123</v>
      </c>
      <c r="C27" s="17" t="s">
        <v>129</v>
      </c>
      <c r="D27" s="16" t="s">
        <v>130</v>
      </c>
      <c r="E27" s="15" t="s">
        <v>139</v>
      </c>
      <c r="F27" s="15" t="s">
        <v>155</v>
      </c>
      <c r="K27" s="16"/>
      <c r="L27" s="16"/>
      <c r="M27" s="16"/>
    </row>
    <row r="28" spans="1:13" s="15" customFormat="1" x14ac:dyDescent="0.4">
      <c r="A28" s="27" t="s">
        <v>174</v>
      </c>
      <c r="B28" s="8" t="s">
        <v>124</v>
      </c>
      <c r="C28" s="15">
        <v>101</v>
      </c>
      <c r="D28" s="16">
        <v>103</v>
      </c>
      <c r="E28" s="15">
        <v>104</v>
      </c>
      <c r="F28" s="15">
        <v>107</v>
      </c>
      <c r="K28" s="16"/>
      <c r="L28" s="16"/>
      <c r="M28" s="16"/>
    </row>
    <row r="29" spans="1:13" s="15" customFormat="1" x14ac:dyDescent="0.4">
      <c r="A29" s="27" t="s">
        <v>175</v>
      </c>
      <c r="B29" s="8" t="s">
        <v>134</v>
      </c>
      <c r="C29" s="15" t="s">
        <v>188</v>
      </c>
      <c r="D29" s="16" t="s">
        <v>187</v>
      </c>
      <c r="E29" s="15" t="s">
        <v>189</v>
      </c>
      <c r="F29" s="15" t="s">
        <v>190</v>
      </c>
      <c r="K29" s="16"/>
      <c r="L29" s="16"/>
      <c r="M29" s="16"/>
    </row>
    <row r="30" spans="1:13" s="9" customFormat="1" x14ac:dyDescent="0.4">
      <c r="A30" s="27"/>
      <c r="B30" s="8"/>
      <c r="D30" s="10"/>
      <c r="K30" s="10"/>
      <c r="L30" s="10"/>
      <c r="M30" s="10"/>
    </row>
    <row r="31" spans="1:13" s="9" customFormat="1" x14ac:dyDescent="0.4">
      <c r="A31" s="27"/>
      <c r="B31" s="8"/>
      <c r="D31" s="10"/>
      <c r="K31" s="10"/>
      <c r="L31" s="10"/>
      <c r="M31" s="10"/>
    </row>
    <row r="32" spans="1:13" x14ac:dyDescent="0.4">
      <c r="B32" s="12" t="s">
        <v>138</v>
      </c>
      <c r="I32" s="8"/>
      <c r="J32" s="9"/>
    </row>
    <row r="33" spans="1:13" x14ac:dyDescent="0.4">
      <c r="A33" s="27" t="s">
        <v>167</v>
      </c>
      <c r="B33" s="8" t="s">
        <v>156</v>
      </c>
      <c r="C33" s="18">
        <v>3</v>
      </c>
      <c r="D33" s="10">
        <f>CEILING(3/2*D17*C38/(D20+D22/D21), 1)</f>
        <v>3</v>
      </c>
      <c r="I33" s="8"/>
      <c r="J33" s="9"/>
    </row>
    <row r="34" spans="1:13" x14ac:dyDescent="0.4">
      <c r="A34" s="27" t="s">
        <v>168</v>
      </c>
      <c r="B34" s="8" t="s">
        <v>148</v>
      </c>
      <c r="C34" s="28">
        <v>0.54166666666666663</v>
      </c>
      <c r="D34" s="14">
        <v>0.54166666666666663</v>
      </c>
      <c r="I34" s="8"/>
      <c r="J34" s="9"/>
    </row>
    <row r="35" spans="1:13" x14ac:dyDescent="0.4">
      <c r="A35" s="27" t="s">
        <v>169</v>
      </c>
      <c r="B35" s="8" t="s">
        <v>150</v>
      </c>
      <c r="C35" s="18">
        <v>30</v>
      </c>
      <c r="D35" s="10">
        <v>30</v>
      </c>
    </row>
    <row r="37" spans="1:13" s="15" customFormat="1" ht="15.45" customHeight="1" x14ac:dyDescent="0.4">
      <c r="A37" s="27" t="s">
        <v>170</v>
      </c>
      <c r="B37" s="8" t="s">
        <v>135</v>
      </c>
      <c r="C37" s="15" t="s">
        <v>180</v>
      </c>
      <c r="D37" s="16" t="s">
        <v>131</v>
      </c>
      <c r="E37" s="15" t="s">
        <v>132</v>
      </c>
      <c r="F37" s="15" t="s">
        <v>133</v>
      </c>
      <c r="K37" s="16"/>
      <c r="L37" s="16"/>
      <c r="M37" s="16"/>
    </row>
    <row r="38" spans="1:13" s="15" customFormat="1" x14ac:dyDescent="0.4">
      <c r="A38" s="27" t="s">
        <v>171</v>
      </c>
      <c r="B38" s="8" t="s">
        <v>246</v>
      </c>
      <c r="C38" s="15">
        <v>10</v>
      </c>
      <c r="D38" s="15">
        <v>10</v>
      </c>
      <c r="E38" s="15">
        <v>8</v>
      </c>
      <c r="F38" s="15">
        <v>8</v>
      </c>
      <c r="K38" s="16"/>
      <c r="L38" s="16"/>
      <c r="M38" s="16"/>
    </row>
    <row r="39" spans="1:13" s="9" customFormat="1" x14ac:dyDescent="0.4">
      <c r="A39" s="27"/>
      <c r="B39" s="8" t="s">
        <v>247</v>
      </c>
      <c r="C39" s="9">
        <v>10</v>
      </c>
      <c r="D39" s="10">
        <f>C39</f>
        <v>10</v>
      </c>
      <c r="E39" s="9">
        <f>IF(ISBLANK(E37), "", 8)</f>
        <v>8</v>
      </c>
      <c r="F39" s="9">
        <f t="shared" ref="F39:K39" si="0">IF(ISBLANK(F37), "", 8)</f>
        <v>8</v>
      </c>
      <c r="G39" s="9" t="str">
        <f t="shared" si="0"/>
        <v/>
      </c>
      <c r="H39" s="9" t="str">
        <f t="shared" si="0"/>
        <v/>
      </c>
      <c r="I39" s="9" t="str">
        <f t="shared" si="0"/>
        <v/>
      </c>
      <c r="J39" s="9" t="str">
        <f t="shared" si="0"/>
        <v/>
      </c>
      <c r="K39" s="9" t="str">
        <f t="shared" si="0"/>
        <v/>
      </c>
      <c r="L39" s="10"/>
      <c r="M39" s="10"/>
    </row>
    <row r="41" spans="1:13" s="15" customFormat="1" x14ac:dyDescent="0.4">
      <c r="A41" s="27" t="s">
        <v>182</v>
      </c>
      <c r="B41" s="8" t="s">
        <v>181</v>
      </c>
      <c r="C41" s="17" t="s">
        <v>185</v>
      </c>
      <c r="D41" s="16" t="s">
        <v>183</v>
      </c>
      <c r="E41" s="15" t="s">
        <v>184</v>
      </c>
      <c r="K41" s="16"/>
      <c r="L41" s="16"/>
      <c r="M41" s="16"/>
    </row>
  </sheetData>
  <sheetProtection selectLockedCells="1"/>
  <mergeCells count="3">
    <mergeCell ref="E3:I3"/>
    <mergeCell ref="D6:L7"/>
    <mergeCell ref="C2:J2"/>
  </mergeCells>
  <conditionalFormatting sqref="A27:XFD29">
    <cfRule type="expression" dxfId="6" priority="5">
      <formula>AND(COLUMN() - 2 &gt; $C$17, NOT(ISBLANK(A27)))</formula>
    </cfRule>
    <cfRule type="expression" dxfId="5" priority="7">
      <formula>AND(COLUMN() &gt; 2, COLUMN()  - 3 &lt; $C$17, NOT(ISBLANK(A27)))</formula>
    </cfRule>
    <cfRule type="expression" dxfId="4" priority="8">
      <formula>AND(COLUMN() &gt; 2, COLUMN() - 3 &lt; $C$17)</formula>
    </cfRule>
  </conditionalFormatting>
  <conditionalFormatting sqref="A37:XFD38">
    <cfRule type="expression" dxfId="3" priority="4">
      <formula>AND(COLUMN() - 4 &lt; COUNTA(A$37:$C$37), COLUMN() &gt; 2)</formula>
    </cfRule>
  </conditionalFormatting>
  <conditionalFormatting sqref="A41:XFD41">
    <cfRule type="expression" dxfId="2" priority="1">
      <formula>AND(COLUMN() - 2 &gt; $C$33, NOT(ISBLANK(A41)))</formula>
    </cfRule>
    <cfRule type="expression" dxfId="1" priority="2">
      <formula>AND(COLUMN() &gt; 2, COLUMN()  - 3 &lt; $C$33, NOT(ISBLANK(A41)))</formula>
    </cfRule>
    <cfRule type="expression" dxfId="0" priority="3">
      <formula>AND(COLUMN() &gt; 2, COLUMN() - 3 &lt; $C$33)</formula>
    </cfRule>
  </conditionalFormatting>
  <dataValidations count="5">
    <dataValidation operator="greaterThan" allowBlank="1" showInputMessage="1" showErrorMessage="1" sqref="C17" xr:uid="{89518C4B-27B2-4715-A0BA-F312DA5AD59B}"/>
    <dataValidation type="list" allowBlank="1" showInputMessage="1" showErrorMessage="1" sqref="C14:C15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8" xr:uid="{5879EE66-4967-44A2-93D4-FE7A9C52688F}">
      <formula1>"Yes, No"</formula1>
    </dataValidation>
    <dataValidation type="whole" operator="greaterThanOrEqual" allowBlank="1" showInputMessage="1" showErrorMessage="1" sqref="C12 C9" xr:uid="{654E6161-476C-4092-A25F-810EC91FA7E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2656114</xdr:colOff>
                    <xdr:row>42</xdr:row>
                    <xdr:rowOff>114300</xdr:rowOff>
                  </from>
                  <to>
                    <xdr:col>7</xdr:col>
                    <xdr:colOff>457200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2019-04-10T14:29:20Z</dcterms:modified>
</cp:coreProperties>
</file>