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C8029DCE-B521-4A6A-94D4-80F102C0C8CF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<sst xmlns="http://schemas.openxmlformats.org/spreadsheetml/2006/main" count="257" uniqueCount="253">
  <si>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</si>
  <si>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</si>
  <si>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</si>
  <si>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</si>
  <si>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</si>
  <si>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</si>
  <si>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</si>
  <si>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</si>
  <si>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</si>
  <si>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</si>
  <si>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</si>
  <si>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</si>
  <si>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</si>
  <si>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</si>
  <si>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</si>
  <si>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</si>
  <si>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</si>
  <si>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</si>
  <si>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</si>
  <si>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</si>
  <si>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</si>
  <si>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</si>
  <si>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</si>
  <si>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</si>
  <si>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</si>
  <si>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</si>
  <si>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</si>
  <si>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</si>
  <si>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</si>
  <si>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</si>
  <si>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</si>
  <si>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</si>
  <si>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</si>
  <si>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</si>
  <si>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</si>
  <si>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</si>
  <si>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</si>
  <si>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</si>
  <si>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</si>
  <si>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</si>
  <si>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</si>
  <si>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</si>
  <si>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</si>
  <si>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</si>
  <si>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</si>
  <si>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</si>
  <si>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</si>
  <si>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</si>
  <si>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</si>
  <si>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</si>
  <si>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</si>
  <si>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</si>
  <si>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</si>
  <si>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</si>
  <si>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</si>
  <si>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</si>
  <si>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</si>
  <si>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</si>
  <si>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</si>
  <si>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</si>
  <si>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</si>
  <si>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</si>
  <si>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</si>
  <si>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</si>
  <si>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</si>
  <si>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</si>
  <si>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</si>
  <si>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</si>
  <si>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</si>
  <si>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</si>
  <si>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</si>
  <si>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</si>
  <si>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</si>
  <si>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</si>
  <si>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</si>
  <si>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</si>
  <si>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</si>
  <si>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</si>
  <si>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</si>
  <si>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</si>
  <si>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</si>
  <si>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</si>
  <si>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</si>
  <si>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</si>
  <si>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</si>
  <si>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</si>
  <si>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</si>
  <si>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</si>
  <si>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</si>
  <si>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</si>
  <si>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</si>
  <si>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</si>
  <si>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</si>
  <si>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</si>
  <si>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</si>
  <si>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</si>
  <si>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</si>
  <si>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</si>
  <si>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</si>
  <si>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</si>
  <si>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</si>
  <si>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</si>
  <si>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</si>
  <si>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</si>
  <si>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</si>
  <si>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</si>
  <si>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</si>
  <si>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</si>
  <si>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</si>
  <si>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</si>
  <si>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</si>
  <si>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</si>
  <si>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</si>
  <si>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</si>
  <si>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</si>
  <si>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</si>
  <si>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</si>
  <si>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</si>
  <si>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</si>
  <si>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</si>
  <si>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</si>
  <si>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</si>
  <si>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</si>
  <si>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</si>
  <si>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</si>
  <si>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</si>
  <si>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</si>
  <si>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</si>
  <si>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</si>
  <si>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</si>
  <si>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</si>
  <si>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</si>
  <si>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</si>
  <si>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</si>
  <si>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</si>
  <si>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</si>
  <si>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</si>
  <si>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</si>
  <si>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</si>
  <si>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</si>
  <si>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</si>
  <si>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</si>
  <si>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</si>
  <si>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</si>
  <si>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</si>
  <si>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</si>
  <si>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</si>
  <si>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</si>
  <si>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</si>
  <si>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</si>
  <si>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</si>
  <si>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</si>
  <si>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</si>
  <si>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</si>
  <si>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</si>
  <si>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</si>
  <si>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</si>
  <si>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</si>
  <si>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</si>
  <si>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</si>
  <si>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</si>
  <si>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</si>
  <si>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</si>
  <si>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</si>
  <si>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</si>
  <si>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</si>
  <si>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</si>
  <si>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</si>
  <si>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</si>
  <si>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</si>
  <si>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</si>
  <si>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</si>
  <si>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</si>
  <si>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</si>
  <si>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</si>
  <si>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</si>
  <si>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</si>
  <si>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</si>
  <si>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</si>
  <si>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</si>
  <si>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</si>
  <si>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</si>
  <si>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</si>
  <si>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</si>
  <si>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</si>
  <si>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</si>
  <si>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</si>
  <si>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</si>
  <si>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</si>
  <si>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</si>
  <si>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</si>
  <si>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</si>
  <si>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</si>
  <si>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</si>
  <si>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</si>
  <si>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</si>
  <si>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</si>
  <si>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</si>
  <si>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</si>
  <si>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</si>
  <si>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</si>
  <si>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</si>
  <si>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</si>
  <si>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</si>
  <si>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</si>
  <si>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</si>
  <si>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</si>
  <si>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</si>
  <si>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</si>
  <si>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</si>
  <si>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</si>
  <si>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</si>
  <si>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</si>
  <si>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</si>
  <si>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</si>
  <si>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</si>
  <si>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</si>
  <si>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</si>
  <si>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</si>
  <si>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</si>
  <si>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</si>
  <si>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</si>
  <si>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</si>
  <si>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</si>
  <si>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</si>
  <si>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</si>
  <si>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</si>
  <si>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</si>
  <si>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</si>
  <si>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</si>
  <si>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</si>
  <si>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</si>
  <si>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</si>
  <si>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</si>
  <si>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</si>
  <si>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</si>
  <si>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</si>
  <si>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</si>
  <si>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</si>
  <si>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</si>
  <si>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</si>
  <si>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</si>
  <si>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</si>
  <si>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</si>
  <si>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</si>
  <si>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</si>
  <si>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</si>
  <si>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</si>
  <si>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The Fantastic Ants 0</t>
  </si>
  <si>
    <t>Webby</t>
  </si>
  <si>
    <t>too many tables</t>
  </si>
  <si>
    <t>Phooey</t>
  </si>
  <si>
    <t>Donald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</si>
</sst>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G10" sqref="G10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191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29" t="s">
        <v>192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29" t="s">
        <v>193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29" t="s">
        <v>194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29" t="s">
        <v>195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29" t="s">
        <v>196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29" t="s">
        <v>197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29" t="s">
        <v>198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29" t="s">
        <v>199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29" t="s">
        <v>200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29" t="s">
        <v>201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29" t="s">
        <v>202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29" t="s">
        <v>204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29" t="s">
        <v>205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29" t="s">
        <v>206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29" t="s">
        <v>207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29" t="s">
        <v>208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29" t="s">
        <v>209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29" t="s">
        <v>210</v>
      </c>
      <c r="E19" s="1" t="s">
        <v>59</v>
      </c>
    </row>
    <row r="20" spans="1:10" customFormat="1" x14ac:dyDescent="0.4">
      <c r="A20" s="2">
        <v>38561</v>
      </c>
      <c r="B20" s="2" t="s">
        <v>120</v>
      </c>
      <c r="C20" s="2" t="s">
        <v>121</v>
      </c>
      <c r="D20" s="29" t="s">
        <v>211</v>
      </c>
      <c r="E20" s="2" t="s">
        <v>122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29" t="s">
        <v>212</v>
      </c>
      <c r="E21" s="1" t="s">
        <v>60</v>
      </c>
      <c r="F21"/>
      <c r="G21"/>
    </row>
    <row r="22" spans="1:10" x14ac:dyDescent="0.4">
      <c r="A22" s="2">
        <v>15289</v>
      </c>
      <c r="B22" s="2" t="s">
        <v>61</v>
      </c>
      <c r="C22" s="2" t="s">
        <v>79</v>
      </c>
      <c r="D22" s="29" t="s">
        <v>213</v>
      </c>
      <c r="E22" s="2" t="s">
        <v>98</v>
      </c>
      <c r="F22"/>
      <c r="G22"/>
    </row>
    <row r="23" spans="1:10" x14ac:dyDescent="0.4">
      <c r="A23" s="2">
        <v>26167</v>
      </c>
      <c r="B23" s="2" t="s">
        <v>62</v>
      </c>
      <c r="C23" s="2" t="s">
        <v>80</v>
      </c>
      <c r="D23" s="29" t="s">
        <v>214</v>
      </c>
      <c r="E23" s="2" t="s">
        <v>99</v>
      </c>
      <c r="F23"/>
      <c r="G23"/>
    </row>
    <row r="24" spans="1:10" x14ac:dyDescent="0.4">
      <c r="A24" s="2">
        <v>3539</v>
      </c>
      <c r="B24" s="2" t="s">
        <v>63</v>
      </c>
      <c r="C24" s="2" t="s">
        <v>81</v>
      </c>
      <c r="D24" s="29" t="s">
        <v>215</v>
      </c>
      <c r="E24" s="2" t="s">
        <v>100</v>
      </c>
      <c r="F24"/>
      <c r="G24"/>
    </row>
    <row r="25" spans="1:10" x14ac:dyDescent="0.4">
      <c r="A25" s="2">
        <v>42650</v>
      </c>
      <c r="B25" s="2" t="s">
        <v>64</v>
      </c>
      <c r="C25" s="2" t="s">
        <v>82</v>
      </c>
      <c r="D25" s="29" t="s">
        <v>216</v>
      </c>
      <c r="E25" s="2" t="s">
        <v>101</v>
      </c>
      <c r="F25"/>
      <c r="G25"/>
    </row>
    <row r="26" spans="1:10" x14ac:dyDescent="0.4">
      <c r="A26" s="2">
        <v>1313</v>
      </c>
      <c r="B26" s="2" t="s">
        <v>117</v>
      </c>
      <c r="C26" s="2" t="s">
        <v>118</v>
      </c>
      <c r="D26" s="29" t="s">
        <v>217</v>
      </c>
      <c r="E26" s="2" t="s">
        <v>100</v>
      </c>
      <c r="F26"/>
      <c r="G26"/>
    </row>
    <row r="27" spans="1:10" x14ac:dyDescent="0.4">
      <c r="A27" s="2">
        <v>25167</v>
      </c>
      <c r="B27" s="2" t="s">
        <v>65</v>
      </c>
      <c r="C27" s="2" t="s">
        <v>83</v>
      </c>
      <c r="D27" s="29" t="s">
        <v>218</v>
      </c>
      <c r="E27" s="2" t="s">
        <v>102</v>
      </c>
      <c r="F27"/>
      <c r="G27"/>
    </row>
    <row r="28" spans="1:10" x14ac:dyDescent="0.4">
      <c r="A28" s="2">
        <v>11795</v>
      </c>
      <c r="B28" s="2" t="s">
        <v>66</v>
      </c>
      <c r="C28" s="2" t="s">
        <v>84</v>
      </c>
      <c r="D28" s="29" t="s">
        <v>219</v>
      </c>
      <c r="E28" s="2" t="s">
        <v>103</v>
      </c>
      <c r="F28"/>
      <c r="G28"/>
    </row>
    <row r="29" spans="1:10" x14ac:dyDescent="0.4">
      <c r="A29" s="2">
        <v>45977</v>
      </c>
      <c r="B29" s="2" t="s">
        <v>67</v>
      </c>
      <c r="C29" s="2" t="s">
        <v>85</v>
      </c>
      <c r="D29" s="29" t="s">
        <v>220</v>
      </c>
      <c r="E29" s="2" t="s">
        <v>104</v>
      </c>
      <c r="F29"/>
      <c r="G29"/>
    </row>
    <row r="30" spans="1:10" x14ac:dyDescent="0.4">
      <c r="A30" s="2">
        <v>45822</v>
      </c>
      <c r="B30" s="2" t="s">
        <v>68</v>
      </c>
      <c r="C30" s="2" t="s">
        <v>86</v>
      </c>
      <c r="D30" s="29" t="s">
        <v>221</v>
      </c>
      <c r="E30" s="2" t="s">
        <v>105</v>
      </c>
      <c r="F30"/>
      <c r="G30"/>
    </row>
    <row r="31" spans="1:10" x14ac:dyDescent="0.4">
      <c r="A31" s="2">
        <v>24199</v>
      </c>
      <c r="B31" s="2" t="s">
        <v>69</v>
      </c>
      <c r="C31" s="2" t="s">
        <v>87</v>
      </c>
      <c r="D31" s="29" t="s">
        <v>222</v>
      </c>
      <c r="E31" s="2" t="s">
        <v>106</v>
      </c>
      <c r="F31"/>
      <c r="G31"/>
    </row>
    <row r="32" spans="1:10" x14ac:dyDescent="0.4">
      <c r="A32" s="2">
        <v>32148</v>
      </c>
      <c r="B32" s="2" t="s">
        <v>70</v>
      </c>
      <c r="C32" s="2" t="s">
        <v>88</v>
      </c>
      <c r="D32" s="29" t="s">
        <v>223</v>
      </c>
      <c r="E32" s="2" t="s">
        <v>107</v>
      </c>
      <c r="F32"/>
      <c r="G32"/>
    </row>
    <row r="33" spans="1:7" x14ac:dyDescent="0.4">
      <c r="A33" s="2">
        <v>18274</v>
      </c>
      <c r="B33" s="2" t="s">
        <v>71</v>
      </c>
      <c r="C33" s="2" t="s">
        <v>89</v>
      </c>
      <c r="D33" s="29" t="s">
        <v>224</v>
      </c>
      <c r="E33" s="2" t="s">
        <v>108</v>
      </c>
      <c r="F33"/>
      <c r="G33"/>
    </row>
    <row r="34" spans="1:7" x14ac:dyDescent="0.4">
      <c r="A34" s="2">
        <v>27828</v>
      </c>
      <c r="B34" s="2" t="s">
        <v>72</v>
      </c>
      <c r="C34" s="2" t="s">
        <v>90</v>
      </c>
      <c r="D34" s="29" t="s">
        <v>225</v>
      </c>
      <c r="E34" s="2" t="s">
        <v>109</v>
      </c>
      <c r="F34"/>
      <c r="G34"/>
    </row>
    <row r="35" spans="1:7" x14ac:dyDescent="0.4">
      <c r="A35" s="2">
        <v>8778</v>
      </c>
      <c r="B35" s="2" t="s">
        <v>73</v>
      </c>
      <c r="C35" s="2" t="s">
        <v>91</v>
      </c>
      <c r="D35" s="29" t="s">
        <v>226</v>
      </c>
      <c r="E35" s="2" t="s">
        <v>110</v>
      </c>
      <c r="F35"/>
      <c r="G35"/>
    </row>
    <row r="36" spans="1:7" x14ac:dyDescent="0.4">
      <c r="A36" s="2">
        <v>46561</v>
      </c>
      <c r="B36" s="2" t="s">
        <v>74</v>
      </c>
      <c r="C36" s="2" t="s">
        <v>92</v>
      </c>
      <c r="D36" s="29" t="s">
        <v>227</v>
      </c>
      <c r="E36" s="2" t="s">
        <v>111</v>
      </c>
      <c r="F36"/>
      <c r="G36"/>
    </row>
    <row r="37" spans="1:7" x14ac:dyDescent="0.4">
      <c r="A37" s="2">
        <v>24436</v>
      </c>
      <c r="B37" s="2" t="s">
        <v>75</v>
      </c>
      <c r="C37" s="2" t="s">
        <v>93</v>
      </c>
      <c r="D37" s="29" t="s">
        <v>228</v>
      </c>
      <c r="E37" s="2" t="s">
        <v>112</v>
      </c>
      <c r="F37"/>
      <c r="G37"/>
    </row>
    <row r="38" spans="1:7" x14ac:dyDescent="0.4">
      <c r="A38" s="2">
        <v>48988</v>
      </c>
      <c r="B38" s="2" t="s">
        <v>76</v>
      </c>
      <c r="C38" s="2" t="s">
        <v>94</v>
      </c>
      <c r="D38" s="29" t="s">
        <v>229</v>
      </c>
      <c r="E38" s="2" t="s">
        <v>113</v>
      </c>
      <c r="F38"/>
      <c r="G38"/>
    </row>
    <row r="39" spans="1:7" x14ac:dyDescent="0.4">
      <c r="A39" s="2">
        <v>41349</v>
      </c>
      <c r="B39" s="2" t="s">
        <v>77</v>
      </c>
      <c r="C39" s="2" t="s">
        <v>95</v>
      </c>
      <c r="D39" s="29" t="s">
        <v>230</v>
      </c>
      <c r="E39" s="2" t="s">
        <v>114</v>
      </c>
      <c r="F39"/>
      <c r="G39"/>
    </row>
    <row r="40" spans="1:7" x14ac:dyDescent="0.4">
      <c r="A40" s="2">
        <v>9392</v>
      </c>
      <c r="B40" s="2" t="s">
        <v>78</v>
      </c>
      <c r="C40" s="2" t="s">
        <v>96</v>
      </c>
      <c r="D40" s="29" t="s">
        <v>231</v>
      </c>
      <c r="E40" s="2" t="s">
        <v>115</v>
      </c>
      <c r="F40"/>
      <c r="G40"/>
    </row>
    <row r="41" spans="1:7" x14ac:dyDescent="0.4">
      <c r="A41" s="2">
        <v>48867</v>
      </c>
      <c r="B41" s="2" t="s">
        <v>119</v>
      </c>
      <c r="C41" s="2" t="s">
        <v>97</v>
      </c>
      <c r="D41" s="29" t="s">
        <v>203</v>
      </c>
      <c r="E41" s="2" t="s">
        <v>116</v>
      </c>
      <c r="F41"/>
      <c r="G41"/>
    </row>
    <row r="42" spans="1:7" x14ac:dyDescent="0.4">
      <c r="A42" s="2">
        <v>41348</v>
      </c>
      <c r="B42" s="2" t="s">
        <v>248</v>
      </c>
      <c r="C42" s="2" t="s">
        <v>95</v>
      </c>
      <c r="D42" s="29" t="s">
        <v>230</v>
      </c>
      <c r="E42" s="2" t="s">
        <v>114</v>
      </c>
    </row>
    <row r="43" spans="1:7" x14ac:dyDescent="0.4">
      <c r="D43" s="29"/>
    </row>
    <row r="44" spans="1:7" x14ac:dyDescent="0.4">
      <c r="D44" s="29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  <hyperlink ref="D42" r:id="rId41" xr:uid="{95729788-A281-45B8-9491-3593107B62E7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I41" sqref="I41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178</v>
      </c>
      <c r="B1" s="8" t="s">
        <v>177</v>
      </c>
      <c r="C1" s="9" t="s">
        <v>179</v>
      </c>
    </row>
    <row r="2" spans="1:13" s="4" customFormat="1" ht="18.45" x14ac:dyDescent="0.5">
      <c r="A2" s="26" t="s">
        <v>172</v>
      </c>
      <c r="B2" s="5" t="s">
        <v>125</v>
      </c>
      <c r="C2" s="35" t="s">
        <v>250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140</v>
      </c>
      <c r="C3" s="9">
        <f>COUNTA('Team Information'!A:A) - COUNTA('Team Information'!A1)</f>
        <v>41</v>
      </c>
      <c r="E3" s="32" t="s">
        <v>136</v>
      </c>
      <c r="F3" s="32"/>
      <c r="G3" s="32"/>
      <c r="H3" s="32"/>
      <c r="I3" s="32"/>
      <c r="J3" s="11">
        <f>C25 - TIME(0, C20, 0)  + TIME(0, C35, 0) + TIME(0, SUM(E38:L38), 0)*_xlfn.CEILING.MATH(C3/(2*C33))</f>
        <v>0.57615740740740751</v>
      </c>
    </row>
    <row r="6" spans="1:13" x14ac:dyDescent="0.4">
      <c r="A6" s="27" t="s">
        <v>158</v>
      </c>
      <c r="B6" s="8" t="s">
        <v>126</v>
      </c>
      <c r="C6" s="18" t="s">
        <v>127</v>
      </c>
      <c r="D6" s="33" t="s">
        <v>157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159</v>
      </c>
      <c r="B7" s="8" t="s">
        <v>144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232</v>
      </c>
      <c r="B8" s="8" t="s">
        <v>240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233</v>
      </c>
      <c r="B9" s="8" t="s">
        <v>239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238</v>
      </c>
      <c r="B10" s="8" t="s">
        <v>241</v>
      </c>
      <c r="C10" s="18" t="s">
        <v>242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234</v>
      </c>
      <c r="B11" s="8" t="s">
        <v>237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235</v>
      </c>
      <c r="B12" s="8" t="s">
        <v>236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243</v>
      </c>
      <c r="B13" s="8" t="s">
        <v>244</v>
      </c>
      <c r="C13" s="18" t="s">
        <v>245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137</v>
      </c>
      <c r="D15" s="13" t="s">
        <v>128</v>
      </c>
    </row>
    <row r="16" spans="1:13" x14ac:dyDescent="0.4">
      <c r="A16" s="27" t="s">
        <v>176</v>
      </c>
      <c r="B16" s="8" t="s">
        <v>151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160</v>
      </c>
      <c r="B17" s="8" t="s">
        <v>143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161</v>
      </c>
      <c r="B18" s="8" t="s">
        <v>141</v>
      </c>
      <c r="C18" s="18" t="s">
        <v>186</v>
      </c>
      <c r="D18" s="22" t="str">
        <f>IF(OR(MOD(C3, 2), C17 &gt; 2), "Yes", "No")</f>
        <v>Yes</v>
      </c>
      <c r="E18" s="21"/>
    </row>
    <row r="19" spans="1:13" x14ac:dyDescent="0.4">
      <c r="B19" s="8" t="s">
        <v>153</v>
      </c>
      <c r="C19" s="19">
        <f>IF(C18="Yes",1+_xlfn.CEILING.MATH((C3-1)/C17), _xlfn.CEILING.MATH(C3/C17))</f>
        <v>11</v>
      </c>
      <c r="D19" s="10" t="s">
        <v>154</v>
      </c>
      <c r="E19" s="21"/>
      <c r="F19" s="9"/>
    </row>
    <row r="20" spans="1:13" x14ac:dyDescent="0.4">
      <c r="A20" s="27" t="s">
        <v>162</v>
      </c>
      <c r="B20" s="8" t="s">
        <v>142</v>
      </c>
      <c r="C20" s="18">
        <v>17.5</v>
      </c>
      <c r="D20" s="10">
        <v>17.5</v>
      </c>
      <c r="E20" s="20"/>
    </row>
    <row r="21" spans="1:13" x14ac:dyDescent="0.4">
      <c r="A21" s="27" t="s">
        <v>163</v>
      </c>
      <c r="B21" s="8" t="s">
        <v>145</v>
      </c>
      <c r="C21" s="18">
        <v>3</v>
      </c>
      <c r="D21" s="10">
        <v>3</v>
      </c>
    </row>
    <row r="22" spans="1:13" x14ac:dyDescent="0.4">
      <c r="A22" s="27" t="s">
        <v>164</v>
      </c>
      <c r="B22" s="8" t="s">
        <v>146</v>
      </c>
      <c r="C22" s="18">
        <v>7.5</v>
      </c>
      <c r="D22" s="10">
        <f>MAX(C21*(20 - C20), 0)</f>
        <v>7.5</v>
      </c>
    </row>
    <row r="23" spans="1:13" x14ac:dyDescent="0.4">
      <c r="A23" s="27" t="s">
        <v>165</v>
      </c>
      <c r="B23" s="8" t="s">
        <v>147</v>
      </c>
      <c r="C23" s="28">
        <v>0.54166666666666663</v>
      </c>
      <c r="D23" s="14">
        <v>0.54166666666666663</v>
      </c>
    </row>
    <row r="24" spans="1:13" x14ac:dyDescent="0.4">
      <c r="A24" s="27" t="s">
        <v>166</v>
      </c>
      <c r="B24" s="8" t="s">
        <v>149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152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173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155</v>
      </c>
      <c r="K27" s="16"/>
      <c r="L27" s="16"/>
      <c r="M27" s="16"/>
    </row>
    <row r="28" spans="1:13" s="15" customFormat="1" x14ac:dyDescent="0.4">
      <c r="A28" s="27" t="s">
        <v>174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175</v>
      </c>
      <c r="B29" s="8" t="s">
        <v>134</v>
      </c>
      <c r="C29" s="15" t="s">
        <v>188</v>
      </c>
      <c r="D29" s="16" t="s">
        <v>187</v>
      </c>
      <c r="E29" s="15" t="s">
        <v>189</v>
      </c>
      <c r="F29" s="15" t="s">
        <v>190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138</v>
      </c>
      <c r="I32" s="8"/>
      <c r="J32" s="9"/>
    </row>
    <row r="33" spans="1:13" x14ac:dyDescent="0.4">
      <c r="A33" s="27" t="s">
        <v>167</v>
      </c>
      <c r="B33" s="8" t="s">
        <v>156</v>
      </c>
      <c r="C33" s="18">
        <v>6</v>
      </c>
      <c r="D33" s="10">
        <f>CEILING(3/2*D17*C38/(D20+D22/D21), 1)</f>
        <v>3</v>
      </c>
      <c r="I33" s="8"/>
      <c r="J33" s="9"/>
    </row>
    <row r="34" spans="1:13" x14ac:dyDescent="0.4">
      <c r="A34" s="27" t="s">
        <v>168</v>
      </c>
      <c r="B34" s="8" t="s">
        <v>148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169</v>
      </c>
      <c r="B35" s="8" t="s">
        <v>150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170</v>
      </c>
      <c r="B37" s="8" t="s">
        <v>135</v>
      </c>
      <c r="C37" s="15" t="s">
        <v>180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 x14ac:dyDescent="0.4">
      <c r="A38" s="27" t="s">
        <v>171</v>
      </c>
      <c r="B38" s="8" t="s">
        <v>246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247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182</v>
      </c>
      <c r="B41" s="8" t="s">
        <v>181</v>
      </c>
      <c r="C41" s="17" t="s">
        <v>185</v>
      </c>
      <c r="D41" s="16" t="s">
        <v>183</v>
      </c>
      <c r="E41" s="15" t="s">
        <v>184</v>
      </c>
      <c r="F41" s="15" t="s">
        <v>249</v>
      </c>
      <c r="G41" s="15" t="s">
        <v>251</v>
      </c>
      <c r="H41" s="15" t="s">
        <v>252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2019-04-11T20:20:34Z</dcterms:modified>
</cp:coreProperties>
</file>