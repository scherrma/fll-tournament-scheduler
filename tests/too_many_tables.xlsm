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A581DEA-D4C4-4BA5-8D71-9497FE78390E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<sst xmlns="http://schemas.openxmlformats.org/spreadsheetml/2006/main" count="272" uniqueCount="266">
  <si>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</si>
  <si>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</si>
  <si>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</si>
  <si>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</si>
  <si>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</si>
  <si>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</si>
  <si>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</si>
  <si>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</si>
  <si>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</si>
  <si>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</si>
  <si>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</si>
  <si>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</si>
  <si>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</si>
  <si>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</si>
  <si>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</si>
  <si>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</si>
  <si>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</si>
  <si>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</si>
  <si>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</si>
  <si>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</si>
  <si>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</si>
  <si>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</si>
  <si>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</si>
  <si>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</si>
  <si>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</si>
  <si>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</si>
  <si>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</si>
  <si>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</si>
  <si>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</si>
  <si>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</si>
  <si>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</si>
  <si>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</si>
  <si>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</si>
  <si>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</si>
  <si>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</si>
  <si>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</si>
  <si>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</si>
  <si>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</si>
  <si>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</si>
  <si>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</si>
  <si>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</si>
  <si>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</si>
  <si>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</si>
  <si>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</si>
  <si>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</si>
  <si>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</si>
  <si>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</si>
  <si>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</si>
  <si>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</si>
  <si>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</si>
  <si>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</si>
  <si>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</si>
  <si>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</si>
  <si>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</si>
  <si>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</si>
  <si>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</si>
  <si>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</si>
  <si>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</si>
  <si>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</si>
  <si>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</si>
  <si>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</si>
  <si>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</si>
  <si>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</si>
  <si>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</si>
  <si>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</si>
  <si>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</si>
  <si>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</si>
  <si>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</si>
  <si>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</si>
  <si>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</si>
  <si>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</si>
  <si>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</si>
  <si>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</si>
  <si>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</si>
  <si>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</si>
  <si>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</si>
  <si>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</si>
  <si>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</si>
  <si>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</si>
  <si>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</si>
  <si>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</si>
  <si>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</si>
  <si>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</si>
  <si>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</si>
  <si>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</si>
  <si>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</si>
  <si>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</si>
  <si>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</si>
  <si>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</si>
  <si>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</si>
  <si>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</si>
  <si>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</si>
  <si>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</si>
  <si>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</si>
  <si>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</si>
  <si>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</si>
  <si>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</si>
  <si>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</si>
  <si>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</si>
  <si>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</si>
  <si>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</si>
  <si>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</si>
  <si>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</si>
  <si>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</si>
  <si>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</si>
  <si>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</si>
  <si>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</si>
  <si>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</si>
  <si>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</si>
  <si>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</si>
  <si>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</si>
  <si>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</si>
  <si>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</si>
  <si>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</si>
  <si>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</si>
  <si>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</si>
  <si>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</si>
  <si>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</si>
  <si>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</si>
  <si>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</si>
  <si>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</si>
  <si>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</si>
  <si>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</si>
  <si>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</si>
  <si>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</si>
  <si>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</si>
  <si>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</si>
  <si>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</si>
  <si>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</si>
  <si>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</si>
  <si>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</si>
  <si>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</si>
  <si>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</si>
  <si>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</si>
  <si>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</si>
  <si>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</si>
  <si>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</si>
  <si>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</si>
  <si>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</si>
  <si>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</si>
  <si>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</si>
  <si>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</si>
  <si>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</si>
  <si>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</si>
  <si>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</si>
  <si>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</si>
  <si>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</si>
  <si>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</si>
  <si>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</si>
  <si>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</si>
  <si>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</si>
  <si>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</si>
  <si>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</si>
  <si>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</si>
  <si>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</si>
  <si>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</si>
  <si>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</si>
  <si>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</si>
  <si>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</si>
  <si>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</si>
  <si>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</si>
  <si>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</si>
  <si>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</si>
  <si>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</si>
  <si>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</si>
  <si>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</si>
  <si>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</si>
  <si>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</si>
  <si>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</si>
  <si>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</si>
  <si>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</si>
  <si>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</si>
  <si>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</si>
  <si>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</si>
  <si>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</si>
  <si>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</si>
  <si>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</si>
  <si>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</si>
  <si>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</si>
  <si>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</si>
  <si>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</si>
  <si>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</si>
  <si>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</si>
  <si>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</si>
  <si>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</si>
  <si>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</si>
  <si>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</si>
  <si>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</si>
  <si>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</si>
  <si>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</si>
  <si>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</si>
  <si>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</si>
  <si>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</si>
  <si>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</si>
  <si>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</si>
  <si>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</si>
  <si>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</si>
  <si>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</si>
  <si>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</si>
  <si>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</si>
  <si>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</si>
  <si>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</si>
  <si>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</si>
  <si>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</si>
  <si>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</si>
  <si>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</si>
  <si>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</si>
  <si>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</si>
  <si>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</si>
  <si>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</si>
  <si>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</si>
  <si>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</si>
  <si>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</si>
  <si>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</si>
  <si>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</si>
  <si>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</si>
  <si>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</si>
  <si>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</si>
  <si>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</si>
  <si>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</si>
  <si>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</si>
  <si>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</si>
  <si>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</si>
  <si>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</si>
  <si>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</si>
  <si>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</si>
  <si>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</si>
  <si>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</si>
  <si>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</si>
  <si>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</si>
  <si>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</si>
  <si>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</si>
  <si>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</si>
  <si>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</si>
  <si>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</si>
  <si>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</si>
  <si>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</si>
  <si>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</si>
  <si>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</si>
  <si>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</si>
  <si>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</si>
  <si>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too many tables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</si>
  <si>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</si>
  <si>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</si>
  <si>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</si>
  <si>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</si>
  <si>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</si>
  <si>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</si>
  <si>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</si>
  <si>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</si>
  <si>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</si>
  <si>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</si>
  <si>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</si>
  <si>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</si>
  <si>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</si>
  <si>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</si>
  <si>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Rd 1</t>
  </si>
  <si>
    <t>Rd 2</t>
  </si>
  <si>
    <t>Rd 3</t>
  </si>
  <si>
    <t>Hubert</t>
  </si>
  <si>
    <t>Louis</t>
  </si>
  <si>
    <t>Dewford</t>
  </si>
  <si>
    <t>Scrooge</t>
  </si>
  <si>
    <t>Webby</t>
  </si>
  <si>
    <t>Beakley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</si>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</sst>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4" t="s">
        <v>241</v>
      </c>
      <c r="D2" s="54"/>
      <c r="E2" s="54"/>
      <c r="F2" s="54"/>
      <c r="G2" s="54"/>
      <c r="H2" s="54"/>
      <c r="I2" s="54"/>
      <c r="J2" s="54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51" t="s">
        <v>71</v>
      </c>
      <c r="F3" s="51"/>
      <c r="G3" s="51"/>
      <c r="H3" s="51"/>
      <c r="I3" s="51"/>
      <c r="J3" s="23">
        <f>IF(OR(ISBLANK(C38),C26="N/A"),"N/A",C26+TIME(0,C16-C23,0)+TIME(0,E35,0)+(CEILING(C3/(2*C38),1)+IF(C40&gt;0,FLOOR(C3/(2*C40),1),0))*(TIME(0,SUM(F35:K35),0)))</f>
        <v>0.62222222222222201</v>
      </c>
    </row>
    <row r="6" spans="1:13" x14ac:dyDescent="0.4">
      <c r="A6" s="8" t="s">
        <v>86</v>
      </c>
      <c r="B6" s="9" t="s">
        <v>67</v>
      </c>
      <c r="C6" s="5" t="s">
        <v>68</v>
      </c>
      <c r="D6" s="52" t="s">
        <v>85</v>
      </c>
      <c r="E6" s="53"/>
      <c r="F6" s="53"/>
      <c r="G6" s="53"/>
      <c r="H6" s="53"/>
      <c r="I6" s="53"/>
      <c r="J6" s="53"/>
      <c r="K6" s="53"/>
      <c r="L6" s="53"/>
      <c r="M6" s="12"/>
    </row>
    <row r="7" spans="1:13" x14ac:dyDescent="0.4">
      <c r="A7" s="8" t="s">
        <v>87</v>
      </c>
      <c r="B7" s="9" t="s">
        <v>78</v>
      </c>
      <c r="C7" s="37">
        <v>12.5</v>
      </c>
      <c r="D7" s="52"/>
      <c r="E7" s="53"/>
      <c r="F7" s="53"/>
      <c r="G7" s="53"/>
      <c r="H7" s="53"/>
      <c r="I7" s="53"/>
      <c r="J7" s="53"/>
      <c r="K7" s="53"/>
      <c r="L7" s="53"/>
      <c r="M7" s="12"/>
    </row>
    <row r="8" spans="1:13" x14ac:dyDescent="0.4">
      <c r="A8" s="8" t="s">
        <v>127</v>
      </c>
      <c r="B8" s="9" t="s">
        <v>134</v>
      </c>
      <c r="C8" s="36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7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38" t="s">
        <v>242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6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7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38" t="s">
        <v>243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234</v>
      </c>
      <c r="C14" s="36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235</v>
      </c>
      <c r="C15" s="36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236</v>
      </c>
      <c r="C16" s="37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3"/>
      <c r="J17" s="33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0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39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1" t="s">
        <v>222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4"/>
    </row>
    <row r="23" spans="1:13" x14ac:dyDescent="0.4">
      <c r="A23" s="8" t="s">
        <v>90</v>
      </c>
      <c r="B23" s="9" t="s">
        <v>76</v>
      </c>
      <c r="C23" s="42">
        <v>17.5</v>
      </c>
      <c r="D23" s="11">
        <v>17.5</v>
      </c>
      <c r="E23" s="16"/>
    </row>
    <row r="24" spans="1:13" x14ac:dyDescent="0.4">
      <c r="A24" s="8" t="s">
        <v>91</v>
      </c>
      <c r="B24" s="9" t="s">
        <v>237</v>
      </c>
      <c r="C24" s="42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2">
        <v>10</v>
      </c>
      <c r="D25" s="11">
        <f>IF(OR(C24 = 0, ISBLANK(C24), ISBLANK(C23)), "", MAX(C24*(20 - C23), 0))</f>
        <v>10</v>
      </c>
    </row>
    <row r="26" spans="1:13" x14ac:dyDescent="0.4">
      <c r="A26" s="35">
        <f>MAX(C19:D19) + C22*TIME(0, C23, 0) + IF(C24 &gt; 0, TIME(0, C25, 0)*FLOOR((C22 - IF(C21="Yes", 3, 2))/C24, 1), 0)</f>
        <v>0.54999999999999993</v>
      </c>
      <c r="B26" s="9" t="s">
        <v>81</v>
      </c>
      <c r="C26" s="14">
        <f>IF(COUNTBLANK(C15:C25) &gt; 2, "N/A", A26 + IF(A26&gt;C15, TIME(0, MAX(0, C16 - C25), 0), 0))</f>
        <v>0.56388888888888877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0" customFormat="1" x14ac:dyDescent="0.4">
      <c r="A28" s="32" t="s">
        <v>97</v>
      </c>
      <c r="B28" s="29" t="s">
        <v>64</v>
      </c>
      <c r="C28" s="43" t="s">
        <v>244</v>
      </c>
      <c r="D28" s="44" t="s">
        <v>245</v>
      </c>
      <c r="E28" s="43" t="s">
        <v>246</v>
      </c>
      <c r="F28" s="43" t="s">
        <v>247</v>
      </c>
      <c r="K28" s="31"/>
      <c r="L28" s="31"/>
      <c r="M28" s="31"/>
    </row>
    <row r="29" spans="1:13" s="30" customFormat="1" x14ac:dyDescent="0.4">
      <c r="A29" s="32" t="s">
        <v>98</v>
      </c>
      <c r="B29" s="29" t="s">
        <v>65</v>
      </c>
      <c r="C29" s="43" t="s">
        <v>248</v>
      </c>
      <c r="D29" s="44" t="s">
        <v>249</v>
      </c>
      <c r="E29" s="43" t="s">
        <v>250</v>
      </c>
      <c r="F29" s="43" t="s">
        <v>251</v>
      </c>
      <c r="K29" s="31"/>
      <c r="L29" s="31"/>
      <c r="M29" s="31"/>
    </row>
    <row r="30" spans="1:13" s="30" customFormat="1" x14ac:dyDescent="0.4">
      <c r="A30" s="32" t="s">
        <v>99</v>
      </c>
      <c r="B30" s="29" t="s">
        <v>70</v>
      </c>
      <c r="C30" s="43" t="s">
        <v>252</v>
      </c>
      <c r="D30" s="44" t="s">
        <v>253</v>
      </c>
      <c r="E30" s="43" t="s">
        <v>254</v>
      </c>
      <c r="F30" s="43" t="s">
        <v>255</v>
      </c>
      <c r="K30" s="31"/>
      <c r="L30" s="31"/>
      <c r="M30" s="31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0" customFormat="1" ht="15.45" customHeight="1" x14ac:dyDescent="0.4">
      <c r="A33" s="32" t="s">
        <v>94</v>
      </c>
      <c r="B33" s="29" t="s">
        <v>226</v>
      </c>
      <c r="C33" s="45" t="s">
        <v>239</v>
      </c>
      <c r="D33" s="46" t="s">
        <v>256</v>
      </c>
      <c r="E33" s="45" t="s">
        <v>257</v>
      </c>
      <c r="F33" s="45" t="s">
        <v>258</v>
      </c>
      <c r="K33" s="31"/>
      <c r="L33" s="31"/>
      <c r="M33" s="31"/>
    </row>
    <row r="34" spans="1:13" s="30" customFormat="1" ht="15.45" customHeight="1" x14ac:dyDescent="0.4">
      <c r="A34" s="32" t="s">
        <v>265</v>
      </c>
      <c r="B34" s="29" t="s">
        <v>240</v>
      </c>
      <c r="D34" s="31"/>
      <c r="K34" s="31"/>
      <c r="L34" s="31"/>
      <c r="M34" s="31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47">
        <v>6</v>
      </c>
      <c r="D38" s="11">
        <f>IF(OR(ISBLANK(C20), COUNTBLANK(C23:C25) &gt; 0), "N/A", CEILING(3/2*C20*C35/(C23+C25/C24), 1))</f>
        <v>3</v>
      </c>
    </row>
    <row r="39" spans="1:13" x14ac:dyDescent="0.4">
      <c r="A39" s="8" t="s">
        <v>229</v>
      </c>
      <c r="B39" s="9" t="s">
        <v>231</v>
      </c>
      <c r="C39" s="49" t="s">
        <v>222</v>
      </c>
    </row>
    <row r="40" spans="1:13" x14ac:dyDescent="0.4">
      <c r="A40" s="8" t="s">
        <v>233</v>
      </c>
      <c r="B40" s="9" t="s">
        <v>238</v>
      </c>
      <c r="C40" s="48">
        <v>5</v>
      </c>
    </row>
    <row r="41" spans="1:13" s="31" customFormat="1" x14ac:dyDescent="0.4">
      <c r="A41" s="32" t="s">
        <v>105</v>
      </c>
      <c r="B41" s="29" t="s">
        <v>104</v>
      </c>
      <c r="C41" s="50" t="s">
        <v>259</v>
      </c>
      <c r="D41" s="50" t="s">
        <v>260</v>
      </c>
      <c r="E41" s="50" t="s">
        <v>261</v>
      </c>
      <c r="F41" s="50" t="s">
        <v>262</v>
      </c>
      <c r="G41" s="50" t="s">
        <v>263</v>
      </c>
      <c r="H41" s="50" t="s">
        <v>264</v>
      </c>
    </row>
    <row r="42" spans="1:13" s="31" customFormat="1" x14ac:dyDescent="0.4">
      <c r="A42" s="32" t="s">
        <v>140</v>
      </c>
      <c r="B42" s="29" t="s">
        <v>232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2019-05-19T19:52:31Z</dcterms:modified>
</cp:coreProperties>
</file>