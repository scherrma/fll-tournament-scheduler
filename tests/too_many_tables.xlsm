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4EC12E21-37C6-4EF6-B914-AE9C53E5798C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<sst xmlns="http://schemas.openxmlformats.org/spreadsheetml/2006/main" count="270" uniqueCount="264">
  <si>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</si>
  <si>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</si>
  <si>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</si>
  <si>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</si>
  <si>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</si>
  <si>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</si>
  <si>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</si>
  <si>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</si>
  <si>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</si>
  <si>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</si>
  <si>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</si>
  <si>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</si>
  <si>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</si>
  <si>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</si>
  <si>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</si>
  <si>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</si>
  <si>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</si>
  <si>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</si>
  <si>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</si>
  <si>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</si>
  <si>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</si>
  <si>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</si>
  <si>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</si>
  <si>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</si>
  <si>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</si>
  <si>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</si>
  <si>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</si>
  <si>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</si>
  <si>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</si>
  <si>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</si>
  <si>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</si>
  <si>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</si>
  <si>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</si>
  <si>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</si>
  <si>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</si>
  <si>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</si>
  <si>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</si>
  <si>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</si>
  <si>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</si>
  <si>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</si>
  <si>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</si>
  <si>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</si>
  <si>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</si>
  <si>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</si>
  <si>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</si>
  <si>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</si>
  <si>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</si>
  <si>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</si>
  <si>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</si>
  <si>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</si>
  <si>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</si>
  <si>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</si>
  <si>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</si>
  <si>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</si>
  <si>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</si>
  <si>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</si>
  <si>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</si>
  <si>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</si>
  <si>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</si>
  <si>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</si>
  <si>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</si>
  <si>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</si>
  <si>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</si>
  <si>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</si>
  <si>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</si>
  <si>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</si>
  <si>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</si>
  <si>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</si>
  <si>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</si>
  <si>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</si>
  <si>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</si>
  <si>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</si>
  <si>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</si>
  <si>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</si>
  <si>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</si>
  <si>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</si>
  <si>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</si>
  <si>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</si>
  <si>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</si>
  <si>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</si>
  <si>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</si>
  <si>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</si>
  <si>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</si>
  <si>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</si>
  <si>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</si>
  <si>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</si>
  <si>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</si>
  <si>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</si>
  <si>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</si>
  <si>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</si>
  <si>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</si>
  <si>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</si>
  <si>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</si>
  <si>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</si>
  <si>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</si>
  <si>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</si>
  <si>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</si>
  <si>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</si>
  <si>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</si>
  <si>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</si>
  <si>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</si>
  <si>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</si>
  <si>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</si>
  <si>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</si>
  <si>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</si>
  <si>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</si>
  <si>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</si>
  <si>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</si>
  <si>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</si>
  <si>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</si>
  <si>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</si>
  <si>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</si>
  <si>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</si>
  <si>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</si>
  <si>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</si>
  <si>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</si>
  <si>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</si>
  <si>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</si>
  <si>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</si>
  <si>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</si>
  <si>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</si>
  <si>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</si>
  <si>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</si>
  <si>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</si>
  <si>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</si>
  <si>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</si>
  <si>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</si>
  <si>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</si>
  <si>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</si>
  <si>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</si>
  <si>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</si>
  <si>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</si>
  <si>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</si>
  <si>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</si>
  <si>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</si>
  <si>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</si>
  <si>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</si>
  <si>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</si>
  <si>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</si>
  <si>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</si>
  <si>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</si>
  <si>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</si>
  <si>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</si>
  <si>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</si>
  <si>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</si>
  <si>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</si>
  <si>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</si>
  <si>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</si>
  <si>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</si>
  <si>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</si>
  <si>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</si>
  <si>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</si>
  <si>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</si>
  <si>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</si>
  <si>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</si>
  <si>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</si>
  <si>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</si>
  <si>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</si>
  <si>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</si>
  <si>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</si>
  <si>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</si>
  <si>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</si>
  <si>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</si>
  <si>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</si>
  <si>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</si>
  <si>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</si>
  <si>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</si>
  <si>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</si>
  <si>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</si>
  <si>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</si>
  <si>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</si>
  <si>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</si>
  <si>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</si>
  <si>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</si>
  <si>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</si>
  <si>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</si>
  <si>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</si>
  <si>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</si>
  <si>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</si>
  <si>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</si>
  <si>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</si>
  <si>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</si>
  <si>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</si>
  <si>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Divisions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</si>
  <si>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</si>
  <si>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</si>
  <si>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</si>
  <si>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</si>
  <si>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</si>
  <si>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</si>
  <si>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</si>
  <si>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</si>
  <si>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</si>
  <si>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</si>
  <si>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</si>
  <si>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</si>
  <si>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</si>
  <si>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</si>
  <si>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</si>
  <si>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</si>
  <si>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</si>
  <si>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</si>
  <si>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</si>
  <si>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</si>
  <si>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</si>
  <si>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</si>
  <si>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</si>
  <si>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</si>
  <si>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</si>
  <si>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</si>
  <si>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</si>
  <si>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</si>
  <si>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</si>
  <si>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</si>
  <si>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</si>
  <si>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</si>
  <si>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</si>
  <si>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</si>
  <si>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</si>
  <si>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</si>
  <si>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</si>
  <si>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</si>
  <si>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</si>
  <si>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</si>
  <si>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</si>
  <si>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</si>
  <si>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</si>
  <si>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</si>
  <si>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</si>
  <si>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</si>
  <si>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</si>
  <si>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</si>
  <si>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</si>
  <si>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</si>
  <si>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</si>
  <si>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</si>
  <si>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</si>
  <si>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</si>
  <si>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</si>
  <si>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</si>
  <si>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</si>
  <si>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</si>
  <si>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</si>
  <si>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</si>
  <si>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</si>
  <si>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</si>
  <si>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</si>
  <si>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</si>
  <si>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</si>
  <si>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</si>
  <si>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</si>
  <si>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</si>
  <si>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</si>
  <si>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</si>
  <si>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</si>
  <si>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</si>
  <si>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</si>
  <si>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</si>
  <si>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</si>
  <si>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</si>
  <si>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too many tables</t>
  </si>
  <si>
    <t>Scrooge</t>
  </si>
  <si>
    <t>Webby</t>
  </si>
  <si>
    <t>Beakley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</si>
</sst>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sqref="A1:XFD1048576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183</v>
      </c>
      <c r="C1" s="3" t="s">
        <v>1</v>
      </c>
      <c r="D1" s="3" t="s">
        <v>2</v>
      </c>
      <c r="E1" s="3" t="s">
        <v>107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108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109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110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111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112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113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114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115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116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117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118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119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120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121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122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123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124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125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126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127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142</v>
      </c>
      <c r="D22" s="2" t="s">
        <v>143</v>
      </c>
      <c r="E22" s="4" t="s">
        <v>144</v>
      </c>
      <c r="F22" s="2" t="s">
        <v>145</v>
      </c>
      <c r="G22"/>
      <c r="H22"/>
    </row>
    <row r="23" spans="1:11" x14ac:dyDescent="0.4">
      <c r="A23" s="2">
        <v>26167</v>
      </c>
      <c r="B23" s="2">
        <v>2</v>
      </c>
      <c r="C23" s="2" t="s">
        <v>184</v>
      </c>
      <c r="D23" s="2" t="s">
        <v>185</v>
      </c>
      <c r="E23" s="4" t="s">
        <v>186</v>
      </c>
      <c r="F23" s="2" t="s">
        <v>187</v>
      </c>
      <c r="G23"/>
      <c r="H23"/>
    </row>
    <row r="24" spans="1:11" x14ac:dyDescent="0.4">
      <c r="A24" s="2">
        <v>3539</v>
      </c>
      <c r="B24" s="2">
        <v>1</v>
      </c>
      <c r="C24" s="2" t="s">
        <v>188</v>
      </c>
      <c r="D24" s="2" t="s">
        <v>189</v>
      </c>
      <c r="E24" s="4" t="s">
        <v>190</v>
      </c>
      <c r="F24" s="2" t="s">
        <v>191</v>
      </c>
      <c r="G24"/>
      <c r="H24"/>
    </row>
    <row r="25" spans="1:11" x14ac:dyDescent="0.4">
      <c r="A25" s="2">
        <v>42650</v>
      </c>
      <c r="B25" s="2">
        <v>1</v>
      </c>
      <c r="C25" s="2" t="s">
        <v>192</v>
      </c>
      <c r="D25" s="2" t="s">
        <v>193</v>
      </c>
      <c r="E25" s="4" t="s">
        <v>194</v>
      </c>
      <c r="F25" s="2" t="s">
        <v>195</v>
      </c>
      <c r="G25"/>
      <c r="H25"/>
    </row>
    <row r="26" spans="1:11" x14ac:dyDescent="0.4">
      <c r="A26" s="2">
        <v>1313</v>
      </c>
      <c r="B26" s="2">
        <v>2</v>
      </c>
      <c r="C26" s="2" t="s">
        <v>196</v>
      </c>
      <c r="D26" s="2" t="s">
        <v>197</v>
      </c>
      <c r="E26" s="4" t="s">
        <v>198</v>
      </c>
      <c r="F26" s="2" t="s">
        <v>191</v>
      </c>
      <c r="G26"/>
      <c r="H26"/>
    </row>
    <row r="27" spans="1:11" x14ac:dyDescent="0.4">
      <c r="A27" s="2">
        <v>25167</v>
      </c>
      <c r="B27" s="2">
        <v>1</v>
      </c>
      <c r="C27" s="2" t="s">
        <v>199</v>
      </c>
      <c r="D27" s="2" t="s">
        <v>200</v>
      </c>
      <c r="E27" s="4" t="s">
        <v>201</v>
      </c>
      <c r="F27" s="2" t="s">
        <v>202</v>
      </c>
      <c r="G27"/>
      <c r="H27"/>
    </row>
    <row r="28" spans="1:11" x14ac:dyDescent="0.4">
      <c r="A28" s="2">
        <v>11795</v>
      </c>
      <c r="B28" s="2">
        <v>1</v>
      </c>
      <c r="C28" s="2" t="s">
        <v>203</v>
      </c>
      <c r="D28" s="2" t="s">
        <v>204</v>
      </c>
      <c r="E28" s="4" t="s">
        <v>205</v>
      </c>
      <c r="F28" s="2" t="s">
        <v>206</v>
      </c>
      <c r="G28"/>
      <c r="H28"/>
    </row>
    <row r="29" spans="1:11" x14ac:dyDescent="0.4">
      <c r="A29" s="2">
        <v>45977</v>
      </c>
      <c r="B29" s="2">
        <v>1</v>
      </c>
      <c r="C29" s="2" t="s">
        <v>207</v>
      </c>
      <c r="D29" s="2" t="s">
        <v>208</v>
      </c>
      <c r="E29" s="4" t="s">
        <v>209</v>
      </c>
      <c r="F29" s="2" t="s">
        <v>210</v>
      </c>
      <c r="G29"/>
      <c r="H29"/>
    </row>
    <row r="30" spans="1:11" x14ac:dyDescent="0.4">
      <c r="A30" s="2">
        <v>45822</v>
      </c>
      <c r="B30" s="2">
        <v>1</v>
      </c>
      <c r="C30" s="2" t="s">
        <v>211</v>
      </c>
      <c r="D30" s="2" t="s">
        <v>212</v>
      </c>
      <c r="E30" s="4" t="s">
        <v>213</v>
      </c>
      <c r="F30" s="2" t="s">
        <v>214</v>
      </c>
      <c r="G30"/>
      <c r="H30"/>
    </row>
    <row r="31" spans="1:11" x14ac:dyDescent="0.4">
      <c r="A31" s="2">
        <v>24199</v>
      </c>
      <c r="B31" s="2">
        <v>1</v>
      </c>
      <c r="C31" s="2" t="s">
        <v>215</v>
      </c>
      <c r="D31" s="2" t="s">
        <v>216</v>
      </c>
      <c r="E31" s="4" t="s">
        <v>217</v>
      </c>
      <c r="F31" s="2" t="s">
        <v>218</v>
      </c>
      <c r="G31"/>
      <c r="H31"/>
    </row>
    <row r="32" spans="1:11" x14ac:dyDescent="0.4">
      <c r="A32" s="2">
        <v>32148</v>
      </c>
      <c r="B32" s="2">
        <v>2</v>
      </c>
      <c r="C32" s="2" t="s">
        <v>219</v>
      </c>
      <c r="D32" s="2" t="s">
        <v>220</v>
      </c>
      <c r="E32" s="4" t="s">
        <v>221</v>
      </c>
      <c r="F32" s="2" t="s">
        <v>222</v>
      </c>
      <c r="G32"/>
      <c r="H32"/>
    </row>
    <row r="33" spans="1:8" x14ac:dyDescent="0.4">
      <c r="A33" s="2">
        <v>18274</v>
      </c>
      <c r="B33" s="2">
        <v>1</v>
      </c>
      <c r="C33" s="2" t="s">
        <v>223</v>
      </c>
      <c r="D33" s="2" t="s">
        <v>224</v>
      </c>
      <c r="E33" s="4" t="s">
        <v>225</v>
      </c>
      <c r="F33" s="2" t="s">
        <v>226</v>
      </c>
      <c r="G33"/>
      <c r="H33"/>
    </row>
    <row r="34" spans="1:8" x14ac:dyDescent="0.4">
      <c r="A34" s="2">
        <v>27828</v>
      </c>
      <c r="B34" s="2">
        <v>2</v>
      </c>
      <c r="C34" s="2" t="s">
        <v>227</v>
      </c>
      <c r="D34" s="2" t="s">
        <v>228</v>
      </c>
      <c r="E34" s="4" t="s">
        <v>229</v>
      </c>
      <c r="F34" s="2" t="s">
        <v>230</v>
      </c>
      <c r="G34"/>
      <c r="H34"/>
    </row>
    <row r="35" spans="1:8" x14ac:dyDescent="0.4">
      <c r="A35" s="2">
        <v>8778</v>
      </c>
      <c r="B35" s="2">
        <v>1</v>
      </c>
      <c r="C35" s="2" t="s">
        <v>231</v>
      </c>
      <c r="D35" s="2" t="s">
        <v>232</v>
      </c>
      <c r="E35" s="4" t="s">
        <v>233</v>
      </c>
      <c r="F35" s="2" t="s">
        <v>234</v>
      </c>
      <c r="G35"/>
      <c r="H35"/>
    </row>
    <row r="36" spans="1:8" x14ac:dyDescent="0.4">
      <c r="A36" s="2">
        <v>46561</v>
      </c>
      <c r="B36" s="2">
        <v>1</v>
      </c>
      <c r="C36" s="2" t="s">
        <v>235</v>
      </c>
      <c r="D36" s="2" t="s">
        <v>236</v>
      </c>
      <c r="E36" s="4" t="s">
        <v>237</v>
      </c>
      <c r="F36" s="2" t="s">
        <v>238</v>
      </c>
      <c r="G36"/>
      <c r="H36"/>
    </row>
    <row r="37" spans="1:8" x14ac:dyDescent="0.4">
      <c r="A37" s="2">
        <v>24436</v>
      </c>
      <c r="B37" s="2">
        <v>1</v>
      </c>
      <c r="C37" s="2" t="s">
        <v>239</v>
      </c>
      <c r="D37" s="2" t="s">
        <v>240</v>
      </c>
      <c r="E37" s="4" t="s">
        <v>241</v>
      </c>
      <c r="F37" s="2" t="s">
        <v>242</v>
      </c>
      <c r="G37"/>
      <c r="H37"/>
    </row>
    <row r="38" spans="1:8" x14ac:dyDescent="0.4">
      <c r="A38" s="2">
        <v>48988</v>
      </c>
      <c r="B38" s="2">
        <v>1</v>
      </c>
      <c r="C38" s="2" t="s">
        <v>243</v>
      </c>
      <c r="D38" s="2" t="s">
        <v>244</v>
      </c>
      <c r="E38" s="4" t="s">
        <v>245</v>
      </c>
      <c r="F38" s="2" t="s">
        <v>246</v>
      </c>
      <c r="G38"/>
      <c r="H38"/>
    </row>
    <row r="39" spans="1:8" x14ac:dyDescent="0.4">
      <c r="A39" s="2">
        <v>41349</v>
      </c>
      <c r="B39" s="2">
        <v>2</v>
      </c>
      <c r="C39" s="2" t="s">
        <v>247</v>
      </c>
      <c r="D39" s="2" t="s">
        <v>248</v>
      </c>
      <c r="E39" s="4" t="s">
        <v>249</v>
      </c>
      <c r="F39" s="2" t="s">
        <v>250</v>
      </c>
      <c r="G39"/>
      <c r="H39"/>
    </row>
    <row r="40" spans="1:8" x14ac:dyDescent="0.4">
      <c r="A40" s="2">
        <v>9392</v>
      </c>
      <c r="B40" s="2">
        <v>2</v>
      </c>
      <c r="C40" s="2" t="s">
        <v>251</v>
      </c>
      <c r="D40" s="2" t="s">
        <v>252</v>
      </c>
      <c r="E40" s="4" t="s">
        <v>253</v>
      </c>
      <c r="F40" s="2" t="s">
        <v>254</v>
      </c>
      <c r="G40"/>
      <c r="H40"/>
    </row>
    <row r="41" spans="1:8" x14ac:dyDescent="0.4">
      <c r="A41" s="2">
        <v>48867</v>
      </c>
      <c r="B41" s="2">
        <v>2</v>
      </c>
      <c r="C41" s="2" t="s">
        <v>255</v>
      </c>
      <c r="D41" s="2" t="s">
        <v>256</v>
      </c>
      <c r="E41" s="4" t="s">
        <v>257</v>
      </c>
      <c r="F41" s="2" t="s">
        <v>258</v>
      </c>
      <c r="G41"/>
      <c r="H41"/>
    </row>
    <row r="42" spans="1:8" x14ac:dyDescent="0.4">
      <c r="A42" s="2">
        <v>41348</v>
      </c>
      <c r="B42" s="2">
        <v>2</v>
      </c>
      <c r="C42" s="2" t="s">
        <v>259</v>
      </c>
      <c r="D42" s="2" t="s">
        <v>248</v>
      </c>
      <c r="E42" s="4" t="s">
        <v>249</v>
      </c>
      <c r="F42" s="2" t="s">
        <v>250</v>
      </c>
    </row>
    <row r="43" spans="1:8" x14ac:dyDescent="0.4">
      <c r="E43" s="4"/>
    </row>
    <row r="44" spans="1:8" x14ac:dyDescent="0.4">
      <c r="E44" s="4"/>
    </row>
  </sheetData>
  <hyperlinks>
    <hyperlink ref="E2" r:id="rId1" xr:uid="{99082532-AE91-4C7E-95CD-1CE7C7A9DA0D}"/>
    <hyperlink ref="E3" r:id="rId2" xr:uid="{C28CD82F-F796-4A54-922A-EE08E31F2FCA}"/>
    <hyperlink ref="E4" r:id="rId3" xr:uid="{D71D5C6E-4002-407F-B5EB-7980FA402820}"/>
    <hyperlink ref="E5" r:id="rId4" xr:uid="{8F24C02B-8A6A-441D-BE4E-B13672965C2C}"/>
    <hyperlink ref="E6" r:id="rId5" xr:uid="{6EECC5C0-3575-4C28-B0A2-2D166D1608F3}"/>
    <hyperlink ref="E7" r:id="rId6" xr:uid="{AA2A699C-A9EE-4C7D-B360-753241E4C6F7}"/>
    <hyperlink ref="E8" r:id="rId7" xr:uid="{2862D211-35E3-4E80-946C-E99C7FA0CA20}"/>
    <hyperlink ref="E9" r:id="rId8" xr:uid="{093D476E-0C43-49A7-8927-D5EA28790D36}"/>
    <hyperlink ref="E10" r:id="rId9" xr:uid="{B7F5CAA3-255A-4FD7-8155-728744422214}"/>
    <hyperlink ref="E11" r:id="rId10" xr:uid="{A6A8C84D-B8B4-4917-B5C1-BF1C8984CE6D}"/>
    <hyperlink ref="E12" r:id="rId11" xr:uid="{D9DF400F-0E1A-428F-912D-BEE53ACA144A}"/>
    <hyperlink ref="E13" r:id="rId12" xr:uid="{B1BF7A40-DA8D-4213-A12A-008F7A9D6620}"/>
    <hyperlink ref="E14" r:id="rId13" xr:uid="{5C7A1197-B5F8-45C9-9790-D1776DB9158C}"/>
    <hyperlink ref="E15" r:id="rId14" xr:uid="{41916AD7-052B-4658-8492-A545FCF05A5E}"/>
    <hyperlink ref="E16" r:id="rId15" xr:uid="{0F9B15FC-5852-408B-8959-DA41E951057B}"/>
    <hyperlink ref="E17" r:id="rId16" xr:uid="{D46985AB-7D6A-4F71-8610-231CF259B846}"/>
    <hyperlink ref="E18" r:id="rId17" xr:uid="{B5751D49-BED5-4497-935F-1DFC3A575896}"/>
    <hyperlink ref="E19" r:id="rId18" xr:uid="{7DFAA83C-FEFC-47C4-8061-098B74A475A9}"/>
    <hyperlink ref="E20" r:id="rId19" xr:uid="{0899C48A-920A-4436-91F9-82265AF82061}"/>
    <hyperlink ref="E21" r:id="rId20" xr:uid="{9937A21C-08E2-4A32-A4B3-E4BF4920363F}"/>
    <hyperlink ref="E22" r:id="rId21" xr:uid="{3586890E-E42D-4C1E-86CD-91DFED709611}"/>
    <hyperlink ref="E23" r:id="rId22" xr:uid="{C45A7342-CF71-4F56-B122-D51665123D28}"/>
    <hyperlink ref="E24" r:id="rId23" xr:uid="{7FEA3533-C3F5-4BDC-B80F-168C064BF1B4}"/>
    <hyperlink ref="E25" r:id="rId24" xr:uid="{42ADBEDF-6F59-434A-9592-34179775C385}"/>
    <hyperlink ref="E26" r:id="rId25" xr:uid="{071E9305-9932-4578-8C9C-67AB45164B59}"/>
    <hyperlink ref="E27" r:id="rId26" xr:uid="{C2E3242C-88F8-4BA9-9296-C9B4501B4DEB}"/>
    <hyperlink ref="E28" r:id="rId27" xr:uid="{AAA16B75-E8AD-41C1-85D8-B4A34EE03400}"/>
    <hyperlink ref="E29" r:id="rId28" xr:uid="{91AA85FA-5613-43DE-A391-0CB799C49CCB}"/>
    <hyperlink ref="E30" r:id="rId29" xr:uid="{75C4B938-5F0B-4529-BA8F-83C0A9A31B35}"/>
    <hyperlink ref="E31" r:id="rId30" xr:uid="{480D23F8-8417-4175-B23D-4AFF88984EE4}"/>
    <hyperlink ref="E32" r:id="rId31" xr:uid="{13414EC0-5222-4A24-A5D0-253B9C1545E8}"/>
    <hyperlink ref="E33" r:id="rId32" xr:uid="{D65EBB37-2015-44CC-B4F5-73E2CABA06DE}"/>
    <hyperlink ref="E34" r:id="rId33" xr:uid="{730BE572-3893-4EEC-9891-A99DED3DF9EF}"/>
    <hyperlink ref="E35" r:id="rId34" xr:uid="{BF554ADB-7015-4064-AB43-4DDEB62C3C4F}"/>
    <hyperlink ref="E36" r:id="rId35" xr:uid="{96640ED9-4322-4E6F-AFC9-AB611851DBC2}"/>
    <hyperlink ref="E37" r:id="rId36" xr:uid="{18663439-F364-4E88-982D-FB0CDE502E28}"/>
    <hyperlink ref="E38" r:id="rId37" xr:uid="{1FCF2CE6-2564-47BD-B50C-B729C1749693}"/>
    <hyperlink ref="E39" r:id="rId38" xr:uid="{D90A3AF2-EE42-44ED-A7FF-D698868FBA2C}"/>
    <hyperlink ref="E40" r:id="rId39" xr:uid="{71226511-7B8C-4DD4-85E2-30ABC1F67B12}"/>
    <hyperlink ref="E41" r:id="rId40" xr:uid="{44EA8785-D4EF-47D6-AF56-4F818915D668}"/>
    <hyperlink ref="E42" r:id="rId41" xr:uid="{8A42319E-DA77-423A-A98C-7B330834F207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6" workbookViewId="0">
      <selection activeCell="C37" sqref="C37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260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0.59999999999999987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155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149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156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152</v>
      </c>
      <c r="B14" s="10" t="s">
        <v>180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153</v>
      </c>
      <c r="B15" s="10" t="s">
        <v>181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150</v>
      </c>
      <c r="B16" s="10" t="s">
        <v>182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146</v>
      </c>
      <c r="B17" s="14"/>
      <c r="H17" s="36"/>
      <c r="J17" s="36"/>
    </row>
    <row r="18" spans="1:13" x14ac:dyDescent="0.4">
      <c r="A18" s="9" t="s">
        <v>147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90</v>
      </c>
      <c r="B21" s="10" t="s">
        <v>75</v>
      </c>
      <c r="C21" s="31" t="s">
        <v>147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 x14ac:dyDescent="0.4">
      <c r="A22" s="9" t="s">
        <v>148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4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 x14ac:dyDescent="0.4">
      <c r="A26" s="38">
        <f>MAX(C19:D19) + C22*TIME(0, C23, 0) + TIME(0, C25, 0)*FLOOR((C22 - IF(C21="Yes", 3, 2))/C24, 1)</f>
        <v>0.54999999999999993</v>
      </c>
      <c r="B26" s="10" t="s">
        <v>82</v>
      </c>
      <c r="C26" s="15">
        <f>IF(COUNTBLANK(C15:C25) &gt; 2, "N/A", A26 + IF(A26&gt;C15, TIME(0, MAX(0, C16 - C25), 0), 0))</f>
        <v>0.56388888888888877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157</v>
      </c>
      <c r="D28" s="34" t="s">
        <v>158</v>
      </c>
      <c r="E28" s="33" t="s">
        <v>159</v>
      </c>
      <c r="F28" s="33" t="s">
        <v>160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161</v>
      </c>
      <c r="D29" s="34" t="s">
        <v>162</v>
      </c>
      <c r="E29" s="33" t="s">
        <v>163</v>
      </c>
      <c r="F29" s="33" t="s">
        <v>164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165</v>
      </c>
      <c r="D30" s="34" t="s">
        <v>166</v>
      </c>
      <c r="E30" s="33" t="s">
        <v>167</v>
      </c>
      <c r="F30" s="33" t="s">
        <v>168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151</v>
      </c>
      <c r="C33" s="33" t="s">
        <v>169</v>
      </c>
      <c r="D33" s="34" t="s">
        <v>170</v>
      </c>
      <c r="E33" s="33" t="s">
        <v>171</v>
      </c>
      <c r="F33" s="33" t="s">
        <v>172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6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154</v>
      </c>
      <c r="B38" s="10" t="s">
        <v>173</v>
      </c>
      <c r="C38" s="31" t="s">
        <v>147</v>
      </c>
    </row>
    <row r="39" spans="1:13" x14ac:dyDescent="0.4">
      <c r="A39" s="9" t="s">
        <v>179</v>
      </c>
      <c r="B39" s="10" t="s">
        <v>178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174</v>
      </c>
      <c r="D40" s="34" t="s">
        <v>175</v>
      </c>
      <c r="E40" s="34" t="s">
        <v>176</v>
      </c>
      <c r="F40" s="34" t="s">
        <v>261</v>
      </c>
      <c r="G40" s="34" t="s">
        <v>262</v>
      </c>
      <c r="H40" s="34" t="s">
        <v>263</v>
      </c>
    </row>
    <row r="41" spans="1:13" s="34" customFormat="1" x14ac:dyDescent="0.4">
      <c r="A41" s="35" t="s">
        <v>141</v>
      </c>
      <c r="B41" s="32" t="s">
        <v>177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2019-05-03T18:54:55Z</dcterms:modified>
</cp:coreProperties>
</file>