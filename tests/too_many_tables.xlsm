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8_{0F2337E4-80D5-4ADE-BDDE-064842F25FA5}" xr6:coauthVersionLast="43" xr6:coauthVersionMax="43" xr10:uidLastSave="{00000000-0000-0000-0000-000000000000}"/>
  <bookViews>
    <workbookView xWindow="-103" yWindow="-103" windowWidth="25920" windowHeight="16749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5" i="26" l="1"/>
  <c r="D37" i="26" l="1"/>
  <c r="D25" i="26" l="1"/>
  <c r="D35" i="26" l="1"/>
  <c r="E35" i="26" s="1"/>
  <c r="F35" i="26" s="1"/>
  <c r="G35" i="26" s="1"/>
  <c r="H35" i="26" s="1"/>
  <c r="I35" i="26" s="1"/>
  <c r="J35" i="26" s="1"/>
  <c r="K35" i="26" s="1"/>
  <c r="L35" i="26" s="1"/>
  <c r="D19" i="26" l="1"/>
  <c r="C3" i="26" l="1"/>
  <c r="D21" i="26" l="1"/>
  <c r="C22" i="26"/>
  <c r="A26" i="26" s="1"/>
  <c r="C26" i="26" s="1"/>
  <c r="J3" i="26" s="1"/>
  <c r="D20" i="26"/>
</calcChain>
</file>

<file path=xl/sharedStrings.xml><?xml version="1.0" encoding="utf-8"?>
<sst xmlns="http://schemas.openxmlformats.org/spreadsheetml/2006/main" count="270" uniqueCount="264">
  <si>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</si>
  <si>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</si>
  <si>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</si>
  <si>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</si>
  <si>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</si>
  <si>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</si>
  <si>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</si>
  <si>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</si>
  <si>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</si>
  <si>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</si>
  <si>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</si>
  <si>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</si>
  <si>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</si>
  <si>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</si>
  <si>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</si>
  <si>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</si>
  <si>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</si>
  <si>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</si>
  <si>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</si>
  <si>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</si>
  <si>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</si>
  <si>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</si>
  <si>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</si>
  <si>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</si>
  <si>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</si>
  <si>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</si>
  <si>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</si>
  <si>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</si>
  <si>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</si>
  <si>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</si>
  <si>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</si>
  <si>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</si>
  <si>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</si>
  <si>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</si>
  <si>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</si>
  <si>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</si>
  <si>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</si>
  <si>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</si>
  <si>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</si>
  <si>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</si>
  <si>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</si>
  <si>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</si>
  <si>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</si>
  <si>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</si>
  <si>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</si>
  <si>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</si>
  <si>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</si>
  <si>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</si>
  <si>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</si>
  <si>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</si>
  <si>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</si>
  <si>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</si>
  <si>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</si>
  <si>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</si>
  <si>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</si>
  <si>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</si>
  <si>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</si>
  <si>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</si>
  <si>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</si>
  <si>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</si>
  <si>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</si>
  <si>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</si>
  <si>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</si>
  <si>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</si>
  <si>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</si>
  <si>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</si>
  <si>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</si>
  <si>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</si>
  <si>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</si>
  <si>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</si>
  <si>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</si>
  <si>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</si>
  <si>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</si>
  <si>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</si>
  <si>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</si>
  <si>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</si>
  <si>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</si>
  <si>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</si>
  <si>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</si>
  <si>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Teams to judge consecutively before taking a break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</si>
  <si>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</si>
  <si>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</si>
  <si>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</si>
  <si>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</si>
  <si>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</si>
  <si>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</si>
  <si>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</si>
  <si>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</si>
  <si>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</si>
  <si>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</si>
  <si>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</si>
  <si>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</si>
  <si>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</si>
  <si>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</si>
  <si>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</si>
  <si>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</si>
  <si>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</si>
  <si>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</si>
  <si>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</si>
  <si>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</si>
  <si>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</si>
  <si>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</si>
  <si>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</si>
  <si>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</si>
  <si>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</si>
  <si>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</si>
  <si>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</si>
  <si>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</si>
  <si>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</si>
  <si>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</si>
  <si>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</si>
  <si>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</si>
  <si>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</si>
  <si>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</si>
  <si>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</si>
  <si>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</si>
  <si>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</si>
  <si>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</si>
  <si>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</si>
  <si>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</si>
  <si>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</si>
  <si>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</si>
  <si>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</si>
  <si>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</si>
  <si>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</si>
  <si>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</si>
  <si>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</si>
  <si>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</si>
  <si>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</si>
  <si>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</si>
  <si>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</si>
  <si>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</si>
  <si>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</si>
  <si>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</si>
  <si>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</si>
  <si>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</si>
  <si>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</si>
  <si>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</si>
  <si>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</si>
  <si>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</si>
  <si>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</si>
  <si>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</si>
  <si>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The Debonair Alligators</t>
  </si>
  <si>
    <t>Onofredo Audet</t>
  </si>
  <si>
    <t>audeto@gmail.com</t>
  </si>
  <si>
    <t>(891) 893-8691</t>
  </si>
  <si>
    <t>Yes</t>
  </si>
  <si>
    <t>No</t>
  </si>
  <si>
    <t>Disabled</t>
  </si>
  <si>
    <t>Coaches' meeting duration (min)</t>
  </si>
  <si>
    <t>lunch_duration</t>
  </si>
  <si>
    <t>Table Round Names</t>
  </si>
  <si>
    <t>lunch_earliest</t>
  </si>
  <si>
    <t>lunch_latest</t>
  </si>
  <si>
    <t>t_stagger</t>
  </si>
  <si>
    <t>Gym</t>
  </si>
  <si>
    <t>Registration</t>
  </si>
  <si>
    <t>P1</t>
  </si>
  <si>
    <t>P2</t>
  </si>
  <si>
    <t>P3</t>
  </si>
  <si>
    <t>P4</t>
  </si>
  <si>
    <t>RD1</t>
  </si>
  <si>
    <t>RD2</t>
  </si>
  <si>
    <t>RD3</t>
  </si>
  <si>
    <t>RD4</t>
  </si>
  <si>
    <t>CV 1</t>
  </si>
  <si>
    <t>CV 2</t>
  </si>
  <si>
    <t>CV 3</t>
  </si>
  <si>
    <t>CV 4</t>
  </si>
  <si>
    <t>Practice</t>
  </si>
  <si>
    <t>Rd 1</t>
  </si>
  <si>
    <t>Rd 2</t>
  </si>
  <si>
    <t>Rd 3</t>
  </si>
  <si>
    <t>Do you want to stagger your table pairs?</t>
  </si>
  <si>
    <t>Hubert</t>
  </si>
  <si>
    <t>Louis</t>
  </si>
  <si>
    <t>Dewford</t>
  </si>
  <si>
    <t>Second table name (optional; will default to table A and table B if empty)</t>
  </si>
  <si>
    <t>Consecutive matches between breaks</t>
  </si>
  <si>
    <t>t_consec</t>
  </si>
  <si>
    <t>Lunch should start no earlier than</t>
  </si>
  <si>
    <t>Lunch should start no later than</t>
  </si>
  <si>
    <t>Lunch duration (min)</t>
  </si>
  <si>
    <t>Divisions</t>
  </si>
  <si>
    <t>The Married Ducks</t>
  </si>
  <si>
    <t>Fanny Alper</t>
  </si>
  <si>
    <t>alperf@gmail.com</t>
  </si>
  <si>
    <t>(480) 242-6811</t>
  </si>
  <si>
    <t>The Condemned Partridges</t>
  </si>
  <si>
    <t>Templeton Darrow</t>
  </si>
  <si>
    <t>darrowt@gmail.com</t>
  </si>
  <si>
    <t>(870) 648-5405</t>
  </si>
  <si>
    <t>The Used Ponies</t>
  </si>
  <si>
    <t>Athene Goldberg</t>
  </si>
  <si>
    <t>goldberga@gmail.com</t>
  </si>
  <si>
    <t>(223) 500-0774</t>
  </si>
  <si>
    <t>The Flaming Gas Stations</t>
  </si>
  <si>
    <t>John Doe</t>
  </si>
  <si>
    <t>doej@gmail.com</t>
  </si>
  <si>
    <t>The Cultured Cockroaches</t>
  </si>
  <si>
    <t>Omar Panayotou</t>
  </si>
  <si>
    <t>panayotouo@gmail.com</t>
  </si>
  <si>
    <t>(505) 237-0375</t>
  </si>
  <si>
    <t>The Even Cheetahs</t>
  </si>
  <si>
    <t>Ursulina Kiselev</t>
  </si>
  <si>
    <t>kiselevu@gmail.com</t>
  </si>
  <si>
    <t>(633) 396-7408</t>
  </si>
  <si>
    <t>The Green Tigers</t>
  </si>
  <si>
    <t>Jozef Mesnikoff</t>
  </si>
  <si>
    <t>mesnikoffj@gmail.com</t>
  </si>
  <si>
    <t>(419) 430-4776</t>
  </si>
  <si>
    <t>The Thoughtless Crocodiles</t>
  </si>
  <si>
    <t>Joanie Penman</t>
  </si>
  <si>
    <t>penmanj@gmail.com</t>
  </si>
  <si>
    <t>(203) 512-7863</t>
  </si>
  <si>
    <t>The Sparkling Pigs</t>
  </si>
  <si>
    <t>Todd Wallington</t>
  </si>
  <si>
    <t>wallingtont@gmail.com</t>
  </si>
  <si>
    <t>(646) 398-6544</t>
  </si>
  <si>
    <t>The Feeble Meerkats</t>
  </si>
  <si>
    <t>Cherida Gambale</t>
  </si>
  <si>
    <t>gambalec@gmail.com</t>
  </si>
  <si>
    <t>(352) 304-2629</t>
  </si>
  <si>
    <t>The Equal Gooses</t>
  </si>
  <si>
    <t>Hobey Lehne</t>
  </si>
  <si>
    <t>lehneh@gmail.com</t>
  </si>
  <si>
    <t>(437) 776-0110</t>
  </si>
  <si>
    <t>The Labored Hyenas</t>
  </si>
  <si>
    <t>Madelon Berridge</t>
  </si>
  <si>
    <t>berridgem@gmail.com</t>
  </si>
  <si>
    <t>(513) 611-7499</t>
  </si>
  <si>
    <t>The Rare Baboons</t>
  </si>
  <si>
    <t>Jose Pothier</t>
  </si>
  <si>
    <t>pothierj@gmail.com</t>
  </si>
  <si>
    <t>(535) 785-4799</t>
  </si>
  <si>
    <t>The Possible Horses</t>
  </si>
  <si>
    <t>Tracy Sakai</t>
  </si>
  <si>
    <t>sakait@gmail.com</t>
  </si>
  <si>
    <t>(714) 445-9543</t>
  </si>
  <si>
    <t>The Faded Ferrets</t>
  </si>
  <si>
    <t>Boonie Henson</t>
  </si>
  <si>
    <t>hensonb@gmail.com</t>
  </si>
  <si>
    <t>(490) 430-9763</t>
  </si>
  <si>
    <t>The Gusty Dugongs</t>
  </si>
  <si>
    <t>Oralia Couch</t>
  </si>
  <si>
    <t>coucho@gmail.com</t>
  </si>
  <si>
    <t>(300) 483-0901</t>
  </si>
  <si>
    <t>The Fantastic Ants</t>
  </si>
  <si>
    <t>Sigfried Yegul</t>
  </si>
  <si>
    <t>yeguls@gmail.com</t>
  </si>
  <si>
    <t>(573) 446-5138</t>
  </si>
  <si>
    <t>The Literate Chickens</t>
  </si>
  <si>
    <t>Verina Victor</t>
  </si>
  <si>
    <t>victorv@gmail.com</t>
  </si>
  <si>
    <t>(621) 649-2871</t>
  </si>
  <si>
    <t>The Edible Minks</t>
  </si>
  <si>
    <t>Reg Bratko</t>
  </si>
  <si>
    <t>bratkor@gmail.com</t>
  </si>
  <si>
    <t>(834) 679-8657</t>
  </si>
  <si>
    <t>The Fantastic Ants 0</t>
  </si>
  <si>
    <t>too many tables</t>
  </si>
  <si>
    <t>Scrooge</t>
  </si>
  <si>
    <t>Webby</t>
  </si>
  <si>
    <t>Beakley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</si>
</sst>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\ AM/PM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3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4" fontId="0" fillId="3" borderId="0" xfId="0" applyNumberFormat="1" applyFill="1" applyAlignment="1" applyProtection="1">
      <alignment horizontal="left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10"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250371</xdr:colOff>
          <xdr:row>7</xdr:row>
          <xdr:rowOff>141514</xdr:rowOff>
        </xdr:from>
        <xdr:to>
          <xdr:col>9</xdr:col>
          <xdr:colOff>1061357</xdr:colOff>
          <xdr:row>11</xdr:row>
          <xdr:rowOff>141514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26" Type="http://schemas.openxmlformats.org/officeDocument/2006/relationships/hyperlink" Target="mailto:panayotouo@gmail.com" TargetMode="External"/><Relationship Id="rId39" Type="http://schemas.openxmlformats.org/officeDocument/2006/relationships/hyperlink" Target="mailto:victorv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42" Type="http://schemas.openxmlformats.org/officeDocument/2006/relationships/printerSettings" Target="../printerSettings/printerSettings1.bin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yeguls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29" Type="http://schemas.openxmlformats.org/officeDocument/2006/relationships/hyperlink" Target="mailto:penmanj@gmail.com" TargetMode="External"/><Relationship Id="rId41" Type="http://schemas.openxmlformats.org/officeDocument/2006/relationships/hyperlink" Target="mailto:yeguls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hyperlink" Target="mailto:coucho@gmail.com" TargetMode="External"/><Relationship Id="rId40" Type="http://schemas.openxmlformats.org/officeDocument/2006/relationships/hyperlink" Target="mailto:bratko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31" Type="http://schemas.openxmlformats.org/officeDocument/2006/relationships/hyperlink" Target="mailto:gambalec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N44"/>
  <sheetViews>
    <sheetView workbookViewId="0">
      <selection sqref="A1:XFD1048576"/>
    </sheetView>
  </sheetViews>
  <sheetFormatPr defaultRowHeight="14.6" x14ac:dyDescent="0.4"/>
  <cols>
    <col min="1" max="1" width="16.921875" style="2" customWidth="1"/>
    <col min="2" max="2" width="7.3046875" style="2" bestFit="1" customWidth="1"/>
    <col min="3" max="3" width="33" style="2" customWidth="1"/>
    <col min="4" max="4" width="20.765625" style="2" customWidth="1"/>
    <col min="5" max="5" width="31.61328125" style="2" customWidth="1"/>
    <col min="6" max="6" width="18.23046875" style="2" customWidth="1"/>
    <col min="7" max="7" width="9.23046875" style="2"/>
    <col min="8" max="8" width="19.53515625" style="2" bestFit="1" customWidth="1"/>
    <col min="9" max="9" width="10.84375" style="2" customWidth="1"/>
    <col min="10" max="10" width="11" style="2" customWidth="1"/>
    <col min="11" max="11" width="9.23046875" style="2" customWidth="1"/>
    <col min="12" max="12" width="21.921875" style="2" customWidth="1"/>
    <col min="13" max="13" width="26.3828125" style="2" customWidth="1"/>
    <col min="14" max="14" width="28.69140625" style="2" customWidth="1"/>
    <col min="15" max="16384" width="9.23046875" style="2"/>
  </cols>
  <sheetData>
    <row r="1" spans="1:14" x14ac:dyDescent="0.4">
      <c r="A1" s="3" t="s">
        <v>0</v>
      </c>
      <c r="B1" s="3" t="s">
        <v>183</v>
      </c>
      <c r="C1" s="3" t="s">
        <v>1</v>
      </c>
      <c r="D1" s="3" t="s">
        <v>2</v>
      </c>
      <c r="E1" s="3" t="s">
        <v>107</v>
      </c>
      <c r="F1" s="3" t="s">
        <v>3</v>
      </c>
      <c r="N1" s="3"/>
    </row>
    <row r="2" spans="1:14" x14ac:dyDescent="0.4">
      <c r="A2" s="2">
        <v>16935</v>
      </c>
      <c r="B2" s="2">
        <v>2</v>
      </c>
      <c r="C2" s="1" t="s">
        <v>6</v>
      </c>
      <c r="D2" s="1" t="s">
        <v>23</v>
      </c>
      <c r="E2" s="4" t="s">
        <v>108</v>
      </c>
      <c r="F2" s="1" t="s">
        <v>42</v>
      </c>
    </row>
    <row r="3" spans="1:14" x14ac:dyDescent="0.4">
      <c r="A3" s="2">
        <v>2463</v>
      </c>
      <c r="B3" s="2">
        <v>2</v>
      </c>
      <c r="C3" s="1" t="s">
        <v>7</v>
      </c>
      <c r="D3" s="1" t="s">
        <v>24</v>
      </c>
      <c r="E3" s="4" t="s">
        <v>109</v>
      </c>
      <c r="F3" s="1" t="s">
        <v>43</v>
      </c>
    </row>
    <row r="4" spans="1:14" x14ac:dyDescent="0.4">
      <c r="A4" s="2">
        <v>33754</v>
      </c>
      <c r="B4" s="2">
        <v>1</v>
      </c>
      <c r="C4" s="1" t="s">
        <v>9</v>
      </c>
      <c r="D4" s="1" t="s">
        <v>25</v>
      </c>
      <c r="E4" s="4" t="s">
        <v>110</v>
      </c>
      <c r="F4" s="1" t="s">
        <v>44</v>
      </c>
    </row>
    <row r="5" spans="1:14" x14ac:dyDescent="0.4">
      <c r="A5" s="2">
        <v>20996</v>
      </c>
      <c r="B5" s="2">
        <v>1</v>
      </c>
      <c r="C5" s="1" t="s">
        <v>8</v>
      </c>
      <c r="D5" s="1" t="s">
        <v>26</v>
      </c>
      <c r="E5" s="4" t="s">
        <v>111</v>
      </c>
      <c r="F5" s="1" t="s">
        <v>45</v>
      </c>
    </row>
    <row r="6" spans="1:14" x14ac:dyDescent="0.4">
      <c r="A6" s="2">
        <v>10666</v>
      </c>
      <c r="B6" s="2">
        <v>2</v>
      </c>
      <c r="C6" s="1" t="s">
        <v>10</v>
      </c>
      <c r="D6" s="1" t="s">
        <v>27</v>
      </c>
      <c r="E6" s="4" t="s">
        <v>112</v>
      </c>
      <c r="F6" s="1" t="s">
        <v>46</v>
      </c>
    </row>
    <row r="7" spans="1:14" x14ac:dyDescent="0.4">
      <c r="A7" s="2">
        <v>28868</v>
      </c>
      <c r="B7" s="2">
        <v>1</v>
      </c>
      <c r="C7" s="1" t="s">
        <v>21</v>
      </c>
      <c r="D7" s="1" t="s">
        <v>28</v>
      </c>
      <c r="E7" s="4" t="s">
        <v>113</v>
      </c>
      <c r="F7" s="1" t="s">
        <v>47</v>
      </c>
    </row>
    <row r="8" spans="1:14" x14ac:dyDescent="0.4">
      <c r="A8" s="2">
        <v>24652</v>
      </c>
      <c r="B8" s="2">
        <v>2</v>
      </c>
      <c r="C8" s="1" t="s">
        <v>11</v>
      </c>
      <c r="D8" s="1" t="s">
        <v>29</v>
      </c>
      <c r="E8" s="4" t="s">
        <v>114</v>
      </c>
      <c r="F8" s="1" t="s">
        <v>48</v>
      </c>
    </row>
    <row r="9" spans="1:14" x14ac:dyDescent="0.4">
      <c r="A9" s="2">
        <v>31946</v>
      </c>
      <c r="B9" s="2">
        <v>2</v>
      </c>
      <c r="C9" s="1" t="s">
        <v>12</v>
      </c>
      <c r="D9" s="1" t="s">
        <v>30</v>
      </c>
      <c r="E9" s="4" t="s">
        <v>115</v>
      </c>
      <c r="F9" s="1" t="s">
        <v>49</v>
      </c>
    </row>
    <row r="10" spans="1:14" x14ac:dyDescent="0.4">
      <c r="A10" s="2">
        <v>1542</v>
      </c>
      <c r="B10" s="2">
        <v>1</v>
      </c>
      <c r="C10" s="1" t="s">
        <v>13</v>
      </c>
      <c r="D10" s="1" t="s">
        <v>31</v>
      </c>
      <c r="E10" s="4" t="s">
        <v>116</v>
      </c>
      <c r="F10" s="1" t="s">
        <v>50</v>
      </c>
    </row>
    <row r="11" spans="1:14" x14ac:dyDescent="0.4">
      <c r="A11" s="2">
        <v>49523</v>
      </c>
      <c r="B11" s="2">
        <v>1</v>
      </c>
      <c r="C11" s="1" t="s">
        <v>14</v>
      </c>
      <c r="D11" s="1" t="s">
        <v>32</v>
      </c>
      <c r="E11" s="4" t="s">
        <v>117</v>
      </c>
      <c r="F11" s="1" t="s">
        <v>51</v>
      </c>
    </row>
    <row r="12" spans="1:14" x14ac:dyDescent="0.4">
      <c r="A12" s="2">
        <v>19885</v>
      </c>
      <c r="B12" s="2">
        <v>1</v>
      </c>
      <c r="C12" s="1" t="s">
        <v>15</v>
      </c>
      <c r="D12" s="1" t="s">
        <v>33</v>
      </c>
      <c r="E12" s="4" t="s">
        <v>118</v>
      </c>
      <c r="F12" s="1" t="s">
        <v>52</v>
      </c>
    </row>
    <row r="13" spans="1:14" x14ac:dyDescent="0.4">
      <c r="A13" s="2">
        <v>41793</v>
      </c>
      <c r="B13" s="2">
        <v>1</v>
      </c>
      <c r="C13" s="1" t="s">
        <v>16</v>
      </c>
      <c r="D13" s="1" t="s">
        <v>34</v>
      </c>
      <c r="E13" s="4" t="s">
        <v>119</v>
      </c>
      <c r="F13" s="1" t="s">
        <v>53</v>
      </c>
    </row>
    <row r="14" spans="1:14" x14ac:dyDescent="0.4">
      <c r="A14" s="2">
        <v>42066</v>
      </c>
      <c r="B14" s="2">
        <v>2</v>
      </c>
      <c r="C14" s="1" t="s">
        <v>4</v>
      </c>
      <c r="D14" s="1" t="s">
        <v>35</v>
      </c>
      <c r="E14" s="4" t="s">
        <v>120</v>
      </c>
      <c r="F14" s="1" t="s">
        <v>54</v>
      </c>
    </row>
    <row r="15" spans="1:14" x14ac:dyDescent="0.4">
      <c r="A15" s="2">
        <v>2932</v>
      </c>
      <c r="B15" s="2">
        <v>1</v>
      </c>
      <c r="C15" s="1" t="s">
        <v>17</v>
      </c>
      <c r="D15" s="1" t="s">
        <v>36</v>
      </c>
      <c r="E15" s="4" t="s">
        <v>121</v>
      </c>
      <c r="F15" s="1" t="s">
        <v>55</v>
      </c>
    </row>
    <row r="16" spans="1:14" x14ac:dyDescent="0.4">
      <c r="A16" s="2">
        <v>505</v>
      </c>
      <c r="B16" s="2">
        <v>1</v>
      </c>
      <c r="C16" s="1" t="s">
        <v>22</v>
      </c>
      <c r="D16" s="1" t="s">
        <v>37</v>
      </c>
      <c r="E16" s="4" t="s">
        <v>122</v>
      </c>
      <c r="F16" s="1" t="s">
        <v>56</v>
      </c>
    </row>
    <row r="17" spans="1:11" x14ac:dyDescent="0.4">
      <c r="A17" s="2">
        <v>3036</v>
      </c>
      <c r="B17" s="2">
        <v>1</v>
      </c>
      <c r="C17" s="1" t="s">
        <v>20</v>
      </c>
      <c r="D17" s="1" t="s">
        <v>38</v>
      </c>
      <c r="E17" s="4" t="s">
        <v>123</v>
      </c>
      <c r="F17" s="1" t="s">
        <v>57</v>
      </c>
    </row>
    <row r="18" spans="1:11" x14ac:dyDescent="0.4">
      <c r="A18" s="2">
        <v>46007</v>
      </c>
      <c r="B18" s="2">
        <v>2</v>
      </c>
      <c r="C18" s="1" t="s">
        <v>5</v>
      </c>
      <c r="D18" s="1" t="s">
        <v>39</v>
      </c>
      <c r="E18" s="4" t="s">
        <v>124</v>
      </c>
      <c r="F18" s="1" t="s">
        <v>58</v>
      </c>
    </row>
    <row r="19" spans="1:11" x14ac:dyDescent="0.4">
      <c r="A19" s="2">
        <v>23932</v>
      </c>
      <c r="B19" s="2">
        <v>1</v>
      </c>
      <c r="C19" s="1" t="s">
        <v>19</v>
      </c>
      <c r="D19" s="1" t="s">
        <v>40</v>
      </c>
      <c r="E19" s="4" t="s">
        <v>125</v>
      </c>
      <c r="F19" s="1" t="s">
        <v>59</v>
      </c>
    </row>
    <row r="20" spans="1:11" customFormat="1" x14ac:dyDescent="0.4">
      <c r="A20" s="2">
        <v>38561</v>
      </c>
      <c r="B20" s="2">
        <v>1</v>
      </c>
      <c r="C20" s="2" t="s">
        <v>61</v>
      </c>
      <c r="D20" s="2" t="s">
        <v>62</v>
      </c>
      <c r="E20" s="4" t="s">
        <v>126</v>
      </c>
      <c r="F20" s="2" t="s">
        <v>63</v>
      </c>
      <c r="H20" s="2"/>
      <c r="I20" s="2"/>
      <c r="J20" s="2"/>
      <c r="K20" s="2"/>
    </row>
    <row r="21" spans="1:11" x14ac:dyDescent="0.4">
      <c r="A21" s="2">
        <v>31303</v>
      </c>
      <c r="B21" s="2">
        <v>1</v>
      </c>
      <c r="C21" s="1" t="s">
        <v>18</v>
      </c>
      <c r="D21" s="1" t="s">
        <v>41</v>
      </c>
      <c r="E21" s="4" t="s">
        <v>127</v>
      </c>
      <c r="F21" s="1" t="s">
        <v>60</v>
      </c>
      <c r="G21"/>
      <c r="H21"/>
    </row>
    <row r="22" spans="1:11" x14ac:dyDescent="0.4">
      <c r="A22" s="2">
        <v>15289</v>
      </c>
      <c r="B22" s="2">
        <v>1</v>
      </c>
      <c r="C22" s="2" t="s">
        <v>142</v>
      </c>
      <c r="D22" s="2" t="s">
        <v>143</v>
      </c>
      <c r="E22" s="4" t="s">
        <v>144</v>
      </c>
      <c r="F22" s="2" t="s">
        <v>145</v>
      </c>
      <c r="G22"/>
      <c r="H22"/>
    </row>
    <row r="23" spans="1:11" x14ac:dyDescent="0.4">
      <c r="A23" s="2">
        <v>26167</v>
      </c>
      <c r="B23" s="2">
        <v>2</v>
      </c>
      <c r="C23" s="2" t="s">
        <v>184</v>
      </c>
      <c r="D23" s="2" t="s">
        <v>185</v>
      </c>
      <c r="E23" s="4" t="s">
        <v>186</v>
      </c>
      <c r="F23" s="2" t="s">
        <v>187</v>
      </c>
      <c r="G23"/>
      <c r="H23"/>
    </row>
    <row r="24" spans="1:11" x14ac:dyDescent="0.4">
      <c r="A24" s="2">
        <v>3539</v>
      </c>
      <c r="B24" s="2">
        <v>1</v>
      </c>
      <c r="C24" s="2" t="s">
        <v>188</v>
      </c>
      <c r="D24" s="2" t="s">
        <v>189</v>
      </c>
      <c r="E24" s="4" t="s">
        <v>190</v>
      </c>
      <c r="F24" s="2" t="s">
        <v>191</v>
      </c>
      <c r="G24"/>
      <c r="H24"/>
    </row>
    <row r="25" spans="1:11" x14ac:dyDescent="0.4">
      <c r="A25" s="2">
        <v>42650</v>
      </c>
      <c r="B25" s="2">
        <v>1</v>
      </c>
      <c r="C25" s="2" t="s">
        <v>192</v>
      </c>
      <c r="D25" s="2" t="s">
        <v>193</v>
      </c>
      <c r="E25" s="4" t="s">
        <v>194</v>
      </c>
      <c r="F25" s="2" t="s">
        <v>195</v>
      </c>
      <c r="G25"/>
      <c r="H25"/>
    </row>
    <row r="26" spans="1:11" x14ac:dyDescent="0.4">
      <c r="A26" s="2">
        <v>1313</v>
      </c>
      <c r="B26" s="2">
        <v>2</v>
      </c>
      <c r="C26" s="2" t="s">
        <v>196</v>
      </c>
      <c r="D26" s="2" t="s">
        <v>197</v>
      </c>
      <c r="E26" s="4" t="s">
        <v>198</v>
      </c>
      <c r="F26" s="2" t="s">
        <v>191</v>
      </c>
      <c r="G26"/>
      <c r="H26"/>
    </row>
    <row r="27" spans="1:11" x14ac:dyDescent="0.4">
      <c r="A27" s="2">
        <v>25167</v>
      </c>
      <c r="B27" s="2">
        <v>1</v>
      </c>
      <c r="C27" s="2" t="s">
        <v>199</v>
      </c>
      <c r="D27" s="2" t="s">
        <v>200</v>
      </c>
      <c r="E27" s="4" t="s">
        <v>201</v>
      </c>
      <c r="F27" s="2" t="s">
        <v>202</v>
      </c>
      <c r="G27"/>
      <c r="H27"/>
    </row>
    <row r="28" spans="1:11" x14ac:dyDescent="0.4">
      <c r="A28" s="2">
        <v>11795</v>
      </c>
      <c r="B28" s="2">
        <v>1</v>
      </c>
      <c r="C28" s="2" t="s">
        <v>203</v>
      </c>
      <c r="D28" s="2" t="s">
        <v>204</v>
      </c>
      <c r="E28" s="4" t="s">
        <v>205</v>
      </c>
      <c r="F28" s="2" t="s">
        <v>206</v>
      </c>
      <c r="G28"/>
      <c r="H28"/>
    </row>
    <row r="29" spans="1:11" x14ac:dyDescent="0.4">
      <c r="A29" s="2">
        <v>45977</v>
      </c>
      <c r="B29" s="2">
        <v>1</v>
      </c>
      <c r="C29" s="2" t="s">
        <v>207</v>
      </c>
      <c r="D29" s="2" t="s">
        <v>208</v>
      </c>
      <c r="E29" s="4" t="s">
        <v>209</v>
      </c>
      <c r="F29" s="2" t="s">
        <v>210</v>
      </c>
      <c r="G29"/>
      <c r="H29"/>
    </row>
    <row r="30" spans="1:11" x14ac:dyDescent="0.4">
      <c r="A30" s="2">
        <v>45822</v>
      </c>
      <c r="B30" s="2">
        <v>1</v>
      </c>
      <c r="C30" s="2" t="s">
        <v>211</v>
      </c>
      <c r="D30" s="2" t="s">
        <v>212</v>
      </c>
      <c r="E30" s="4" t="s">
        <v>213</v>
      </c>
      <c r="F30" s="2" t="s">
        <v>214</v>
      </c>
      <c r="G30"/>
      <c r="H30"/>
    </row>
    <row r="31" spans="1:11" x14ac:dyDescent="0.4">
      <c r="A31" s="2">
        <v>24199</v>
      </c>
      <c r="B31" s="2">
        <v>1</v>
      </c>
      <c r="C31" s="2" t="s">
        <v>215</v>
      </c>
      <c r="D31" s="2" t="s">
        <v>216</v>
      </c>
      <c r="E31" s="4" t="s">
        <v>217</v>
      </c>
      <c r="F31" s="2" t="s">
        <v>218</v>
      </c>
      <c r="G31"/>
      <c r="H31"/>
    </row>
    <row r="32" spans="1:11" x14ac:dyDescent="0.4">
      <c r="A32" s="2">
        <v>32148</v>
      </c>
      <c r="B32" s="2">
        <v>2</v>
      </c>
      <c r="C32" s="2" t="s">
        <v>219</v>
      </c>
      <c r="D32" s="2" t="s">
        <v>220</v>
      </c>
      <c r="E32" s="4" t="s">
        <v>221</v>
      </c>
      <c r="F32" s="2" t="s">
        <v>222</v>
      </c>
      <c r="G32"/>
      <c r="H32"/>
    </row>
    <row r="33" spans="1:8" x14ac:dyDescent="0.4">
      <c r="A33" s="2">
        <v>18274</v>
      </c>
      <c r="B33" s="2">
        <v>1</v>
      </c>
      <c r="C33" s="2" t="s">
        <v>223</v>
      </c>
      <c r="D33" s="2" t="s">
        <v>224</v>
      </c>
      <c r="E33" s="4" t="s">
        <v>225</v>
      </c>
      <c r="F33" s="2" t="s">
        <v>226</v>
      </c>
      <c r="G33"/>
      <c r="H33"/>
    </row>
    <row r="34" spans="1:8" x14ac:dyDescent="0.4">
      <c r="A34" s="2">
        <v>27828</v>
      </c>
      <c r="B34" s="2">
        <v>2</v>
      </c>
      <c r="C34" s="2" t="s">
        <v>227</v>
      </c>
      <c r="D34" s="2" t="s">
        <v>228</v>
      </c>
      <c r="E34" s="4" t="s">
        <v>229</v>
      </c>
      <c r="F34" s="2" t="s">
        <v>230</v>
      </c>
      <c r="G34"/>
      <c r="H34"/>
    </row>
    <row r="35" spans="1:8" x14ac:dyDescent="0.4">
      <c r="A35" s="2">
        <v>8778</v>
      </c>
      <c r="B35" s="2">
        <v>1</v>
      </c>
      <c r="C35" s="2" t="s">
        <v>231</v>
      </c>
      <c r="D35" s="2" t="s">
        <v>232</v>
      </c>
      <c r="E35" s="4" t="s">
        <v>233</v>
      </c>
      <c r="F35" s="2" t="s">
        <v>234</v>
      </c>
      <c r="G35"/>
      <c r="H35"/>
    </row>
    <row r="36" spans="1:8" x14ac:dyDescent="0.4">
      <c r="A36" s="2">
        <v>46561</v>
      </c>
      <c r="B36" s="2">
        <v>1</v>
      </c>
      <c r="C36" s="2" t="s">
        <v>235</v>
      </c>
      <c r="D36" s="2" t="s">
        <v>236</v>
      </c>
      <c r="E36" s="4" t="s">
        <v>237</v>
      </c>
      <c r="F36" s="2" t="s">
        <v>238</v>
      </c>
      <c r="G36"/>
      <c r="H36"/>
    </row>
    <row r="37" spans="1:8" x14ac:dyDescent="0.4">
      <c r="A37" s="2">
        <v>24436</v>
      </c>
      <c r="B37" s="2">
        <v>1</v>
      </c>
      <c r="C37" s="2" t="s">
        <v>239</v>
      </c>
      <c r="D37" s="2" t="s">
        <v>240</v>
      </c>
      <c r="E37" s="4" t="s">
        <v>241</v>
      </c>
      <c r="F37" s="2" t="s">
        <v>242</v>
      </c>
      <c r="G37"/>
      <c r="H37"/>
    </row>
    <row r="38" spans="1:8" x14ac:dyDescent="0.4">
      <c r="A38" s="2">
        <v>48988</v>
      </c>
      <c r="B38" s="2">
        <v>1</v>
      </c>
      <c r="C38" s="2" t="s">
        <v>243</v>
      </c>
      <c r="D38" s="2" t="s">
        <v>244</v>
      </c>
      <c r="E38" s="4" t="s">
        <v>245</v>
      </c>
      <c r="F38" s="2" t="s">
        <v>246</v>
      </c>
      <c r="G38"/>
      <c r="H38"/>
    </row>
    <row r="39" spans="1:8" x14ac:dyDescent="0.4">
      <c r="A39" s="2">
        <v>41349</v>
      </c>
      <c r="B39" s="2">
        <v>2</v>
      </c>
      <c r="C39" s="2" t="s">
        <v>247</v>
      </c>
      <c r="D39" s="2" t="s">
        <v>248</v>
      </c>
      <c r="E39" s="4" t="s">
        <v>249</v>
      </c>
      <c r="F39" s="2" t="s">
        <v>250</v>
      </c>
      <c r="G39"/>
      <c r="H39"/>
    </row>
    <row r="40" spans="1:8" x14ac:dyDescent="0.4">
      <c r="A40" s="2">
        <v>9392</v>
      </c>
      <c r="B40" s="2">
        <v>2</v>
      </c>
      <c r="C40" s="2" t="s">
        <v>251</v>
      </c>
      <c r="D40" s="2" t="s">
        <v>252</v>
      </c>
      <c r="E40" s="4" t="s">
        <v>253</v>
      </c>
      <c r="F40" s="2" t="s">
        <v>254</v>
      </c>
      <c r="G40"/>
      <c r="H40"/>
    </row>
    <row r="41" spans="1:8" x14ac:dyDescent="0.4">
      <c r="A41" s="2">
        <v>48867</v>
      </c>
      <c r="B41" s="2">
        <v>2</v>
      </c>
      <c r="C41" s="2" t="s">
        <v>255</v>
      </c>
      <c r="D41" s="2" t="s">
        <v>256</v>
      </c>
      <c r="E41" s="4" t="s">
        <v>257</v>
      </c>
      <c r="F41" s="2" t="s">
        <v>258</v>
      </c>
      <c r="G41"/>
      <c r="H41"/>
    </row>
    <row r="42" spans="1:8" x14ac:dyDescent="0.4">
      <c r="A42" s="2">
        <v>41348</v>
      </c>
      <c r="B42" s="2">
        <v>2</v>
      </c>
      <c r="C42" s="2" t="s">
        <v>259</v>
      </c>
      <c r="D42" s="2" t="s">
        <v>248</v>
      </c>
      <c r="E42" s="4" t="s">
        <v>249</v>
      </c>
      <c r="F42" s="2" t="s">
        <v>250</v>
      </c>
    </row>
    <row r="43" spans="1:8" x14ac:dyDescent="0.4">
      <c r="E43" s="4"/>
    </row>
    <row r="44" spans="1:8" x14ac:dyDescent="0.4">
      <c r="E44" s="4"/>
    </row>
  </sheetData>
  <hyperlinks>
    <hyperlink ref="E2" r:id="rId1" xr:uid="{99082532-AE91-4C7E-95CD-1CE7C7A9DA0D}"/>
    <hyperlink ref="E3" r:id="rId2" xr:uid="{C28CD82F-F796-4A54-922A-EE08E31F2FCA}"/>
    <hyperlink ref="E4" r:id="rId3" xr:uid="{D71D5C6E-4002-407F-B5EB-7980FA402820}"/>
    <hyperlink ref="E5" r:id="rId4" xr:uid="{8F24C02B-8A6A-441D-BE4E-B13672965C2C}"/>
    <hyperlink ref="E6" r:id="rId5" xr:uid="{6EECC5C0-3575-4C28-B0A2-2D166D1608F3}"/>
    <hyperlink ref="E7" r:id="rId6" xr:uid="{AA2A699C-A9EE-4C7D-B360-753241E4C6F7}"/>
    <hyperlink ref="E8" r:id="rId7" xr:uid="{2862D211-35E3-4E80-946C-E99C7FA0CA20}"/>
    <hyperlink ref="E9" r:id="rId8" xr:uid="{093D476E-0C43-49A7-8927-D5EA28790D36}"/>
    <hyperlink ref="E10" r:id="rId9" xr:uid="{B7F5CAA3-255A-4FD7-8155-728744422214}"/>
    <hyperlink ref="E11" r:id="rId10" xr:uid="{A6A8C84D-B8B4-4917-B5C1-BF1C8984CE6D}"/>
    <hyperlink ref="E12" r:id="rId11" xr:uid="{D9DF400F-0E1A-428F-912D-BEE53ACA144A}"/>
    <hyperlink ref="E13" r:id="rId12" xr:uid="{B1BF7A40-DA8D-4213-A12A-008F7A9D6620}"/>
    <hyperlink ref="E14" r:id="rId13" xr:uid="{5C7A1197-B5F8-45C9-9790-D1776DB9158C}"/>
    <hyperlink ref="E15" r:id="rId14" xr:uid="{41916AD7-052B-4658-8492-A545FCF05A5E}"/>
    <hyperlink ref="E16" r:id="rId15" xr:uid="{0F9B15FC-5852-408B-8959-DA41E951057B}"/>
    <hyperlink ref="E17" r:id="rId16" xr:uid="{D46985AB-7D6A-4F71-8610-231CF259B846}"/>
    <hyperlink ref="E18" r:id="rId17" xr:uid="{B5751D49-BED5-4497-935F-1DFC3A575896}"/>
    <hyperlink ref="E19" r:id="rId18" xr:uid="{7DFAA83C-FEFC-47C4-8061-098B74A475A9}"/>
    <hyperlink ref="E20" r:id="rId19" xr:uid="{0899C48A-920A-4436-91F9-82265AF82061}"/>
    <hyperlink ref="E21" r:id="rId20" xr:uid="{9937A21C-08E2-4A32-A4B3-E4BF4920363F}"/>
    <hyperlink ref="E22" r:id="rId21" xr:uid="{3586890E-E42D-4C1E-86CD-91DFED709611}"/>
    <hyperlink ref="E23" r:id="rId22" xr:uid="{C45A7342-CF71-4F56-B122-D51665123D28}"/>
    <hyperlink ref="E24" r:id="rId23" xr:uid="{7FEA3533-C3F5-4BDC-B80F-168C064BF1B4}"/>
    <hyperlink ref="E25" r:id="rId24" xr:uid="{42ADBEDF-6F59-434A-9592-34179775C385}"/>
    <hyperlink ref="E26" r:id="rId25" xr:uid="{071E9305-9932-4578-8C9C-67AB45164B59}"/>
    <hyperlink ref="E27" r:id="rId26" xr:uid="{C2E3242C-88F8-4BA9-9296-C9B4501B4DEB}"/>
    <hyperlink ref="E28" r:id="rId27" xr:uid="{AAA16B75-E8AD-41C1-85D8-B4A34EE03400}"/>
    <hyperlink ref="E29" r:id="rId28" xr:uid="{91AA85FA-5613-43DE-A391-0CB799C49CCB}"/>
    <hyperlink ref="E30" r:id="rId29" xr:uid="{75C4B938-5F0B-4529-BA8F-83C0A9A31B35}"/>
    <hyperlink ref="E31" r:id="rId30" xr:uid="{480D23F8-8417-4175-B23D-4AFF88984EE4}"/>
    <hyperlink ref="E32" r:id="rId31" xr:uid="{13414EC0-5222-4A24-A5D0-253B9C1545E8}"/>
    <hyperlink ref="E33" r:id="rId32" xr:uid="{D65EBB37-2015-44CC-B4F5-73E2CABA06DE}"/>
    <hyperlink ref="E34" r:id="rId33" xr:uid="{730BE572-3893-4EEC-9891-A99DED3DF9EF}"/>
    <hyperlink ref="E35" r:id="rId34" xr:uid="{BF554ADB-7015-4064-AB43-4DDEB62C3C4F}"/>
    <hyperlink ref="E36" r:id="rId35" xr:uid="{96640ED9-4322-4E6F-AFC9-AB611851DBC2}"/>
    <hyperlink ref="E37" r:id="rId36" xr:uid="{18663439-F364-4E88-982D-FB0CDE502E28}"/>
    <hyperlink ref="E38" r:id="rId37" xr:uid="{1FCF2CE6-2564-47BD-B50C-B729C1749693}"/>
    <hyperlink ref="E39" r:id="rId38" xr:uid="{D90A3AF2-EE42-44ED-A7FF-D698868FBA2C}"/>
    <hyperlink ref="E40" r:id="rId39" xr:uid="{71226511-7B8C-4DD4-85E2-30ABC1F67B12}"/>
    <hyperlink ref="E41" r:id="rId40" xr:uid="{44EA8785-D4EF-47D6-AF56-4F818915D668}"/>
    <hyperlink ref="E42" r:id="rId41" xr:uid="{8A42319E-DA77-423A-A98C-7B330834F207}"/>
  </hyperlinks>
  <pageMargins left="0.7" right="0.7" top="0.75" bottom="0.75" header="0.3" footer="0.3"/>
  <pageSetup orientation="portrait" r:id="rId4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1"/>
  <sheetViews>
    <sheetView tabSelected="1" topLeftCell="B6" workbookViewId="0">
      <selection activeCell="G40" sqref="G40"/>
    </sheetView>
  </sheetViews>
  <sheetFormatPr defaultRowHeight="14.6" x14ac:dyDescent="0.4"/>
  <cols>
    <col min="1" max="1" width="22.07421875" style="9" hidden="1" customWidth="1"/>
    <col min="2" max="2" width="63.07421875" style="10" bestFit="1" customWidth="1"/>
    <col min="3" max="3" width="15.4609375" style="11" customWidth="1"/>
    <col min="4" max="4" width="20.84375" style="12" customWidth="1"/>
    <col min="5" max="5" width="9.23046875" style="13" customWidth="1"/>
    <col min="6" max="6" width="12.3046875" style="13" customWidth="1"/>
    <col min="7" max="7" width="10.3828125" style="13" customWidth="1"/>
    <col min="8" max="8" width="9.23046875" style="13"/>
    <col min="9" max="9" width="9.23046875" style="13" customWidth="1"/>
    <col min="10" max="10" width="23.61328125" style="13" customWidth="1"/>
    <col min="11" max="11" width="18.61328125" style="12" customWidth="1"/>
    <col min="12" max="12" width="23.921875" style="12" customWidth="1"/>
    <col min="13" max="13" width="23.84375" style="12" customWidth="1"/>
    <col min="14" max="14" width="9.23046875" style="13"/>
    <col min="15" max="15" width="21.15234375" style="13" customWidth="1"/>
    <col min="16" max="16384" width="9.23046875" style="13"/>
  </cols>
  <sheetData>
    <row r="1" spans="1:13" hidden="1" x14ac:dyDescent="0.4">
      <c r="A1" s="9" t="s">
        <v>103</v>
      </c>
      <c r="B1" s="10" t="s">
        <v>102</v>
      </c>
      <c r="C1" s="11" t="s">
        <v>104</v>
      </c>
    </row>
    <row r="2" spans="1:13" s="26" customFormat="1" ht="18.45" x14ac:dyDescent="0.5">
      <c r="A2" s="27" t="s">
        <v>97</v>
      </c>
      <c r="B2" s="28" t="s">
        <v>66</v>
      </c>
      <c r="C2" s="42" t="s">
        <v>260</v>
      </c>
      <c r="D2" s="42"/>
      <c r="E2" s="42"/>
      <c r="F2" s="42"/>
      <c r="G2" s="42"/>
      <c r="H2" s="42"/>
      <c r="I2" s="42"/>
      <c r="J2" s="42"/>
      <c r="K2" s="25"/>
      <c r="L2" s="25"/>
      <c r="M2" s="25"/>
    </row>
    <row r="3" spans="1:13" ht="15.9" x14ac:dyDescent="0.4">
      <c r="B3" s="10" t="s">
        <v>74</v>
      </c>
      <c r="C3" s="11">
        <f>COUNTA('Team Information'!A:A) - COUNTA('Team Information'!A1)</f>
        <v>41</v>
      </c>
      <c r="E3" s="39" t="s">
        <v>71</v>
      </c>
      <c r="F3" s="39"/>
      <c r="G3" s="39"/>
      <c r="H3" s="39"/>
      <c r="I3" s="39"/>
      <c r="J3" s="24">
        <f>IF(OR(ISBLANK(C37), C26="N/A"), "N/A", C26 + TIME(0, C16 - C23, 0) + TIME(0, E34, 0) + CEILING(C3/(2*C37), 1)*TIME(0, SUM(F34:K34), 0))</f>
        <v>0.59999999999999987</v>
      </c>
    </row>
    <row r="6" spans="1:13" x14ac:dyDescent="0.4">
      <c r="A6" s="9" t="s">
        <v>87</v>
      </c>
      <c r="B6" s="10" t="s">
        <v>67</v>
      </c>
      <c r="C6" s="5" t="s">
        <v>68</v>
      </c>
      <c r="D6" s="40" t="s">
        <v>86</v>
      </c>
      <c r="E6" s="41"/>
      <c r="F6" s="41"/>
      <c r="G6" s="41"/>
      <c r="H6" s="41"/>
      <c r="I6" s="41"/>
      <c r="J6" s="41"/>
      <c r="K6" s="41"/>
      <c r="L6" s="41"/>
      <c r="M6" s="13"/>
    </row>
    <row r="7" spans="1:13" x14ac:dyDescent="0.4">
      <c r="A7" s="9" t="s">
        <v>88</v>
      </c>
      <c r="B7" s="10" t="s">
        <v>78</v>
      </c>
      <c r="C7" s="30">
        <v>12.5</v>
      </c>
      <c r="D7" s="40"/>
      <c r="E7" s="41"/>
      <c r="F7" s="41"/>
      <c r="G7" s="41"/>
      <c r="H7" s="41"/>
      <c r="I7" s="41"/>
      <c r="J7" s="41"/>
      <c r="K7" s="41"/>
      <c r="L7" s="41"/>
      <c r="M7" s="13"/>
    </row>
    <row r="8" spans="1:13" x14ac:dyDescent="0.4">
      <c r="A8" s="9" t="s">
        <v>128</v>
      </c>
      <c r="B8" s="10" t="s">
        <v>135</v>
      </c>
      <c r="C8" s="6">
        <v>0.375</v>
      </c>
      <c r="D8" s="29"/>
      <c r="E8" s="29"/>
      <c r="F8" s="29"/>
      <c r="G8" s="29"/>
      <c r="H8" s="29"/>
      <c r="I8" s="29"/>
      <c r="J8" s="29"/>
      <c r="K8" s="29"/>
      <c r="L8" s="29"/>
      <c r="M8" s="13"/>
    </row>
    <row r="9" spans="1:13" x14ac:dyDescent="0.4">
      <c r="A9" s="9" t="s">
        <v>129</v>
      </c>
      <c r="B9" s="10" t="s">
        <v>134</v>
      </c>
      <c r="C9" s="30">
        <v>30</v>
      </c>
      <c r="D9" s="29"/>
      <c r="E9" s="29"/>
      <c r="F9" s="29"/>
      <c r="G9" s="29"/>
      <c r="H9" s="29"/>
      <c r="I9" s="29"/>
      <c r="J9" s="29"/>
      <c r="K9" s="29"/>
      <c r="L9" s="29"/>
      <c r="M9" s="13"/>
    </row>
    <row r="10" spans="1:13" x14ac:dyDescent="0.4">
      <c r="A10" s="9" t="s">
        <v>133</v>
      </c>
      <c r="B10" s="10" t="s">
        <v>136</v>
      </c>
      <c r="C10" s="31" t="s">
        <v>155</v>
      </c>
      <c r="D10" s="29"/>
      <c r="E10" s="29"/>
      <c r="F10" s="29"/>
      <c r="G10" s="29"/>
      <c r="H10" s="29"/>
      <c r="I10" s="29"/>
      <c r="J10" s="29"/>
      <c r="K10" s="29"/>
      <c r="L10" s="29"/>
      <c r="M10" s="13"/>
    </row>
    <row r="11" spans="1:13" x14ac:dyDescent="0.4">
      <c r="A11" s="9" t="s">
        <v>130</v>
      </c>
      <c r="B11" s="10" t="s">
        <v>132</v>
      </c>
      <c r="C11" s="6">
        <v>0.35416666666666669</v>
      </c>
      <c r="D11" s="29"/>
      <c r="E11" s="29"/>
      <c r="F11" s="29"/>
      <c r="G11" s="29"/>
      <c r="H11" s="29"/>
      <c r="I11" s="29"/>
      <c r="J11" s="29"/>
      <c r="K11" s="29"/>
      <c r="L11" s="29"/>
      <c r="M11" s="13"/>
    </row>
    <row r="12" spans="1:13" x14ac:dyDescent="0.4">
      <c r="A12" s="9" t="s">
        <v>131</v>
      </c>
      <c r="B12" s="10" t="s">
        <v>149</v>
      </c>
      <c r="C12" s="30">
        <v>15</v>
      </c>
      <c r="D12" s="23"/>
      <c r="E12" s="29"/>
      <c r="F12" s="29"/>
      <c r="G12" s="29"/>
      <c r="H12" s="29"/>
      <c r="I12" s="29"/>
      <c r="J12" s="29"/>
      <c r="K12" s="29"/>
      <c r="L12" s="29"/>
      <c r="M12" s="13"/>
    </row>
    <row r="13" spans="1:13" x14ac:dyDescent="0.4">
      <c r="A13" s="9" t="s">
        <v>137</v>
      </c>
      <c r="B13" s="10" t="s">
        <v>138</v>
      </c>
      <c r="C13" s="31" t="s">
        <v>156</v>
      </c>
      <c r="D13" s="23"/>
      <c r="E13" s="29"/>
      <c r="F13" s="29"/>
      <c r="G13" s="29"/>
      <c r="H13" s="29"/>
      <c r="I13" s="29"/>
      <c r="J13" s="29"/>
      <c r="K13" s="29"/>
      <c r="L13" s="29"/>
      <c r="M13" s="13"/>
    </row>
    <row r="14" spans="1:13" x14ac:dyDescent="0.4">
      <c r="A14" s="9" t="s">
        <v>152</v>
      </c>
      <c r="B14" s="10" t="s">
        <v>180</v>
      </c>
      <c r="C14" s="6">
        <v>0.45833333333333331</v>
      </c>
      <c r="D14" s="23"/>
      <c r="E14" s="29"/>
      <c r="F14" s="29"/>
      <c r="G14" s="29"/>
      <c r="H14" s="29"/>
      <c r="I14" s="29"/>
      <c r="J14" s="29"/>
      <c r="K14" s="29"/>
      <c r="L14" s="29"/>
      <c r="M14" s="13"/>
    </row>
    <row r="15" spans="1:13" x14ac:dyDescent="0.4">
      <c r="A15" s="9" t="s">
        <v>153</v>
      </c>
      <c r="B15" s="10" t="s">
        <v>181</v>
      </c>
      <c r="C15" s="6">
        <v>0.54166666666666663</v>
      </c>
      <c r="D15" s="23"/>
      <c r="E15" s="29"/>
      <c r="F15" s="29"/>
      <c r="G15" s="29"/>
      <c r="H15" s="29"/>
      <c r="I15" s="29"/>
      <c r="J15" s="29"/>
      <c r="K15" s="29"/>
      <c r="L15" s="29"/>
      <c r="M15" s="13"/>
    </row>
    <row r="16" spans="1:13" x14ac:dyDescent="0.4">
      <c r="A16" s="9" t="s">
        <v>150</v>
      </c>
      <c r="B16" s="10" t="s">
        <v>182</v>
      </c>
      <c r="C16" s="30">
        <v>30</v>
      </c>
      <c r="D16" s="23"/>
      <c r="E16" s="29"/>
      <c r="F16" s="29"/>
      <c r="G16" s="29"/>
      <c r="H16" s="29"/>
      <c r="I16" s="29"/>
      <c r="J16" s="29"/>
      <c r="K16" s="29"/>
      <c r="L16" s="29"/>
      <c r="M16" s="13"/>
    </row>
    <row r="17" spans="1:13" x14ac:dyDescent="0.4">
      <c r="A17" s="9" t="s">
        <v>146</v>
      </c>
      <c r="B17" s="14"/>
      <c r="H17" s="36"/>
      <c r="J17" s="36"/>
    </row>
    <row r="18" spans="1:13" x14ac:dyDescent="0.4">
      <c r="A18" s="9" t="s">
        <v>147</v>
      </c>
      <c r="B18" s="14" t="s">
        <v>72</v>
      </c>
      <c r="D18" s="16" t="s">
        <v>69</v>
      </c>
    </row>
    <row r="19" spans="1:13" x14ac:dyDescent="0.4">
      <c r="A19" s="9" t="s">
        <v>101</v>
      </c>
      <c r="B19" s="10" t="s">
        <v>81</v>
      </c>
      <c r="C19" s="6">
        <v>0.40625</v>
      </c>
      <c r="D19" s="20">
        <f>MAX(C8+TIME(0, C9, 0), C11 + TIME(0, C12, 0)) + TIME(0, C7, 0)</f>
        <v>0.40416666666666667</v>
      </c>
      <c r="E19" s="21"/>
    </row>
    <row r="20" spans="1:13" x14ac:dyDescent="0.4">
      <c r="A20" s="9" t="s">
        <v>89</v>
      </c>
      <c r="B20" s="10" t="s">
        <v>77</v>
      </c>
      <c r="C20" s="5">
        <v>4</v>
      </c>
      <c r="D20" s="22">
        <f>CEILING(C3/12, 1)</f>
        <v>4</v>
      </c>
      <c r="E20" s="19"/>
    </row>
    <row r="21" spans="1:13" x14ac:dyDescent="0.4">
      <c r="A21" s="9" t="s">
        <v>90</v>
      </c>
      <c r="B21" s="10" t="s">
        <v>75</v>
      </c>
      <c r="C21" s="31" t="s">
        <v>147</v>
      </c>
      <c r="D21" s="22" t="str">
        <f>IF(COUNTIF('Team Information'!$1:$1, "Division") &gt; 0, "Disabled with divisions", IF(OR(MOD(C3, 2), C20 &gt; 2), "Yes", "No"))</f>
        <v>Yes</v>
      </c>
      <c r="E21" s="19"/>
    </row>
    <row r="22" spans="1:13" x14ac:dyDescent="0.4">
      <c r="A22" s="9" t="s">
        <v>148</v>
      </c>
      <c r="B22" s="10" t="s">
        <v>83</v>
      </c>
      <c r="C22" s="18">
        <f>IF(ISBLANK(C20), "N/A", IF(C21="Yes",1+_xlfn.CEILING.MATH((C3-1)/C20), _xlfn.CEILING.MATH(C3/C20)))</f>
        <v>11</v>
      </c>
      <c r="D22" s="12" t="s">
        <v>84</v>
      </c>
      <c r="E22" s="19"/>
      <c r="F22" s="11"/>
      <c r="J22" s="37"/>
    </row>
    <row r="23" spans="1:13" x14ac:dyDescent="0.4">
      <c r="A23" s="9" t="s">
        <v>91</v>
      </c>
      <c r="B23" s="10" t="s">
        <v>76</v>
      </c>
      <c r="C23" s="5">
        <v>17.5</v>
      </c>
      <c r="D23" s="12">
        <v>17.5</v>
      </c>
      <c r="E23" s="17"/>
    </row>
    <row r="24" spans="1:13" x14ac:dyDescent="0.4">
      <c r="A24" s="9" t="s">
        <v>92</v>
      </c>
      <c r="B24" s="10" t="s">
        <v>79</v>
      </c>
      <c r="C24" s="5">
        <v>4</v>
      </c>
      <c r="D24" s="12">
        <v>3</v>
      </c>
    </row>
    <row r="25" spans="1:13" x14ac:dyDescent="0.4">
      <c r="A25" s="9" t="s">
        <v>93</v>
      </c>
      <c r="B25" s="10" t="s">
        <v>80</v>
      </c>
      <c r="C25" s="5">
        <v>10</v>
      </c>
      <c r="D25" s="12">
        <f>IF(OR(ISBLANK(C24), ISBLANK(C23)), "", MAX(C24*(20 - C23), 0))</f>
        <v>10</v>
      </c>
    </row>
    <row r="26" spans="1:13" x14ac:dyDescent="0.4">
      <c r="A26" s="38">
        <f>MAX(C19:D19) + C22*TIME(0, C23, 0) + TIME(0, C25, 0)*FLOOR((C22 - IF(C21="Yes", 3, 2))/C24, 1)</f>
        <v>0.54999999999999993</v>
      </c>
      <c r="B26" s="10" t="s">
        <v>82</v>
      </c>
      <c r="C26" s="15">
        <f>IF(COUNTBLANK(C15:C25) &gt; 2, "N/A", A26 + IF(A26&gt;C15, TIME(0, MAX(0, C16 - C25), 0), 0))</f>
        <v>0.56388888888888877</v>
      </c>
      <c r="K26" s="16"/>
      <c r="L26" s="16"/>
      <c r="M26" s="16"/>
    </row>
    <row r="27" spans="1:13" x14ac:dyDescent="0.4">
      <c r="C27" s="15"/>
      <c r="K27" s="16"/>
      <c r="L27" s="16"/>
      <c r="M27" s="16"/>
    </row>
    <row r="28" spans="1:13" s="33" customFormat="1" x14ac:dyDescent="0.4">
      <c r="A28" s="35" t="s">
        <v>98</v>
      </c>
      <c r="B28" s="32" t="s">
        <v>64</v>
      </c>
      <c r="C28" s="33" t="s">
        <v>157</v>
      </c>
      <c r="D28" s="34" t="s">
        <v>158</v>
      </c>
      <c r="E28" s="33" t="s">
        <v>159</v>
      </c>
      <c r="F28" s="33" t="s">
        <v>160</v>
      </c>
      <c r="K28" s="34"/>
      <c r="L28" s="34"/>
      <c r="M28" s="34"/>
    </row>
    <row r="29" spans="1:13" s="33" customFormat="1" x14ac:dyDescent="0.4">
      <c r="A29" s="35" t="s">
        <v>99</v>
      </c>
      <c r="B29" s="32" t="s">
        <v>65</v>
      </c>
      <c r="C29" s="33" t="s">
        <v>161</v>
      </c>
      <c r="D29" s="34" t="s">
        <v>162</v>
      </c>
      <c r="E29" s="33" t="s">
        <v>163</v>
      </c>
      <c r="F29" s="33" t="s">
        <v>164</v>
      </c>
      <c r="K29" s="34"/>
      <c r="L29" s="34"/>
      <c r="M29" s="34"/>
    </row>
    <row r="30" spans="1:13" s="33" customFormat="1" x14ac:dyDescent="0.4">
      <c r="A30" s="35" t="s">
        <v>100</v>
      </c>
      <c r="B30" s="32" t="s">
        <v>70</v>
      </c>
      <c r="C30" s="33" t="s">
        <v>165</v>
      </c>
      <c r="D30" s="34" t="s">
        <v>166</v>
      </c>
      <c r="E30" s="33" t="s">
        <v>167</v>
      </c>
      <c r="F30" s="33" t="s">
        <v>168</v>
      </c>
      <c r="K30" s="34"/>
      <c r="L30" s="34"/>
      <c r="M30" s="34"/>
    </row>
    <row r="31" spans="1:13" s="11" customFormat="1" x14ac:dyDescent="0.4">
      <c r="A31" s="9"/>
      <c r="B31" s="10"/>
      <c r="D31" s="12"/>
      <c r="K31" s="12"/>
      <c r="L31" s="12"/>
      <c r="M31" s="12"/>
    </row>
    <row r="32" spans="1:13" x14ac:dyDescent="0.4">
      <c r="B32" s="14" t="s">
        <v>73</v>
      </c>
      <c r="I32" s="10"/>
      <c r="J32" s="11"/>
    </row>
    <row r="33" spans="1:13" s="33" customFormat="1" ht="15.45" customHeight="1" x14ac:dyDescent="0.4">
      <c r="A33" s="35" t="s">
        <v>95</v>
      </c>
      <c r="B33" s="32" t="s">
        <v>151</v>
      </c>
      <c r="C33" s="33" t="s">
        <v>169</v>
      </c>
      <c r="D33" s="34" t="s">
        <v>170</v>
      </c>
      <c r="E33" s="33" t="s">
        <v>171</v>
      </c>
      <c r="F33" s="33" t="s">
        <v>172</v>
      </c>
      <c r="K33" s="34"/>
      <c r="L33" s="34"/>
      <c r="M33" s="34"/>
    </row>
    <row r="34" spans="1:13" s="7" customFormat="1" x14ac:dyDescent="0.4">
      <c r="A34" s="9" t="s">
        <v>96</v>
      </c>
      <c r="B34" s="10" t="s">
        <v>139</v>
      </c>
      <c r="C34" s="7">
        <v>10</v>
      </c>
      <c r="D34" s="7">
        <v>10</v>
      </c>
      <c r="E34" s="7">
        <v>8</v>
      </c>
      <c r="F34" s="7">
        <v>8</v>
      </c>
      <c r="K34" s="8"/>
      <c r="L34" s="8"/>
      <c r="M34" s="8"/>
    </row>
    <row r="35" spans="1:13" s="11" customFormat="1" x14ac:dyDescent="0.4">
      <c r="A35" s="9"/>
      <c r="B35" s="10" t="s">
        <v>140</v>
      </c>
      <c r="C35" s="11">
        <f>IF(ISBLANK(C33), "", 10)</f>
        <v>10</v>
      </c>
      <c r="D35" s="11">
        <f>IF(OR(ISBLANK(D33), ISBLANK(C35)), "", 10)</f>
        <v>10</v>
      </c>
      <c r="E35" s="11">
        <f>IF(OR(ISBLANK(E33), ISBLANK(D35)), "", 8)</f>
        <v>8</v>
      </c>
      <c r="F35" s="11">
        <f t="shared" ref="F35:L35" si="0">IF(OR(ISBLANK(F33), ISBLANK(E35)), "", 8)</f>
        <v>8</v>
      </c>
      <c r="G35" s="11" t="str">
        <f t="shared" si="0"/>
        <v/>
      </c>
      <c r="H35" s="11" t="str">
        <f t="shared" si="0"/>
        <v/>
      </c>
      <c r="I35" s="11" t="str">
        <f t="shared" si="0"/>
        <v/>
      </c>
      <c r="J35" s="11" t="str">
        <f t="shared" si="0"/>
        <v/>
      </c>
      <c r="K35" s="11" t="str">
        <f t="shared" si="0"/>
        <v/>
      </c>
      <c r="L35" s="11" t="str">
        <f t="shared" si="0"/>
        <v/>
      </c>
      <c r="M35" s="12"/>
    </row>
    <row r="36" spans="1:13" s="11" customFormat="1" x14ac:dyDescent="0.4">
      <c r="A36" s="9"/>
      <c r="B36" s="10"/>
      <c r="M36" s="12"/>
    </row>
    <row r="37" spans="1:13" x14ac:dyDescent="0.4">
      <c r="A37" s="9" t="s">
        <v>94</v>
      </c>
      <c r="B37" s="10" t="s">
        <v>85</v>
      </c>
      <c r="C37" s="5">
        <v>6</v>
      </c>
      <c r="D37" s="12">
        <f>IF(OR(ISBLANK(C20), COUNTBLANK(C23:C25) &gt; 0), "N/A", CEILING(3/2*C20*C34/(C23+C25/C24), 1))</f>
        <v>3</v>
      </c>
    </row>
    <row r="38" spans="1:13" x14ac:dyDescent="0.4">
      <c r="A38" s="9" t="s">
        <v>154</v>
      </c>
      <c r="B38" s="10" t="s">
        <v>173</v>
      </c>
      <c r="C38" s="31" t="s">
        <v>147</v>
      </c>
    </row>
    <row r="39" spans="1:13" x14ac:dyDescent="0.4">
      <c r="A39" s="9" t="s">
        <v>179</v>
      </c>
      <c r="B39" s="10" t="s">
        <v>178</v>
      </c>
      <c r="C39" s="30">
        <v>10</v>
      </c>
    </row>
    <row r="40" spans="1:13" s="34" customFormat="1" x14ac:dyDescent="0.4">
      <c r="A40" s="35" t="s">
        <v>106</v>
      </c>
      <c r="B40" s="32" t="s">
        <v>105</v>
      </c>
      <c r="C40" s="34" t="s">
        <v>174</v>
      </c>
      <c r="D40" s="34" t="s">
        <v>175</v>
      </c>
      <c r="E40" s="34" t="s">
        <v>176</v>
      </c>
      <c r="F40" s="34" t="s">
        <v>261</v>
      </c>
      <c r="G40" s="34" t="s">
        <v>262</v>
      </c>
      <c r="H40" s="34" t="s">
        <v>263</v>
      </c>
    </row>
    <row r="41" spans="1:13" s="34" customFormat="1" x14ac:dyDescent="0.4">
      <c r="A41" s="35" t="s">
        <v>141</v>
      </c>
      <c r="B41" s="32" t="s">
        <v>177</v>
      </c>
    </row>
  </sheetData>
  <sheetProtection sheet="1" selectLockedCells="1"/>
  <mergeCells count="3">
    <mergeCell ref="E3:I3"/>
    <mergeCell ref="D6:L7"/>
    <mergeCell ref="C2:J2"/>
  </mergeCells>
  <conditionalFormatting sqref="A28:XFD30">
    <cfRule type="expression" dxfId="9" priority="9">
      <formula>AND(COLUMN() - 2 &gt; $C$20, NOT(ISBLANK(A28)))</formula>
    </cfRule>
    <cfRule type="expression" dxfId="8" priority="11">
      <formula>AND(COLUMN() &gt; 2, COLUMN()  - 3 &lt; $C$20, NOT(ISBLANK(A28)))</formula>
    </cfRule>
    <cfRule type="expression" dxfId="7" priority="12">
      <formula>AND(COLUMN() &gt; 2, COLUMN() - 3 &lt; $C$20)</formula>
    </cfRule>
  </conditionalFormatting>
  <conditionalFormatting sqref="A33:XFD33">
    <cfRule type="expression" dxfId="6" priority="8">
      <formula>AND(COLUMN() - 4 &lt; COUNTA(A$33:$C$33), COLUMN() &gt; 2)</formula>
    </cfRule>
  </conditionalFormatting>
  <conditionalFormatting sqref="A34:XFD34">
    <cfRule type="expression" dxfId="5" priority="4">
      <formula>AND(COLUMN() - 4 &lt; COUNTA(A$34:$C$34), COLUMN() &gt; 2, NOT(ISBLANK(A33)))</formula>
    </cfRule>
  </conditionalFormatting>
  <conditionalFormatting sqref="A40:XFD40">
    <cfRule type="expression" dxfId="4" priority="13">
      <formula>AND(COLUMN() - 2 &gt; $C$37, NOT(ISBLANK(A40)))</formula>
    </cfRule>
    <cfRule type="expression" dxfId="3" priority="14">
      <formula>AND(COLUMN() &gt; 2, COLUMN()  - 3 &lt; $C$37, NOT(ISBLANK(A40)))</formula>
    </cfRule>
    <cfRule type="expression" dxfId="2" priority="15">
      <formula>AND(COLUMN() &gt; 2, COLUMN() - 3 &lt; $C$37)</formula>
    </cfRule>
  </conditionalFormatting>
  <conditionalFormatting sqref="A41:XFD41">
    <cfRule type="expression" dxfId="1" priority="16">
      <formula>AND(OR(ISBLANK(A40), COLUMN() - 2 &gt; $C$37), NOT(ISBLANK(A41)))</formula>
    </cfRule>
    <cfRule type="expression" dxfId="0" priority="17">
      <formula>AND(COLUMN() &gt; 2, COLUMN() - 3 &lt; $C$37, NOT(ISBLANK(A40)))</formula>
    </cfRule>
  </conditionalFormatting>
  <dataValidations count="7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24 C37 C39" xr:uid="{311BABB6-58E0-4E57-8CC3-2F1F40587AB3}">
      <formula1>0</formula1>
    </dataValidation>
    <dataValidation type="decimal" operator="greaterThan" allowBlank="1" showInputMessage="1" showErrorMessage="1" sqref="C23 A34" xr:uid="{ED0546B4-7349-41C1-BFAD-32BAA738CCD3}">
      <formula1>0</formula1>
    </dataValidation>
    <dataValidation type="list" operator="greaterThan" allowBlank="1" showInputMessage="1" showErrorMessage="1" sqref="C38" xr:uid="{6218AE0D-2C17-480F-BB55-556A06BA172B}">
      <formula1>"Yes, No"</formula1>
    </dataValidation>
    <dataValidation type="decimal" operator="greaterThanOrEqual" allowBlank="1" showInputMessage="1" showErrorMessage="1" sqref="C34:XFD34" xr:uid="{FD4AC110-3841-4838-98D8-7B5BF1C23677}">
      <formula1>2.5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250371</xdr:colOff>
                    <xdr:row>7</xdr:row>
                    <xdr:rowOff>141514</xdr:rowOff>
                  </from>
                  <to>
                    <xdr:col>9</xdr:col>
                    <xdr:colOff>1061357</xdr:colOff>
                    <xdr:row>11</xdr:row>
                    <xdr:rowOff>141514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2019-05-01T17:32:15Z</dcterms:modified>
</cp:coreProperties>
</file>