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6B11F8E5-6A12-49ED-9B07-C0C10E783C99}" xr6:coauthVersionLast="44" xr6:coauthVersionMax="44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<sst xmlns="http://schemas.openxmlformats.org/spreadsheetml/2006/main" count="271" uniqueCount="265">
  <si>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</si>
  <si>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</si>
  <si>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</si>
  <si>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</si>
  <si>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</si>
  <si>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</si>
  <si>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</si>
  <si>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</si>
  <si>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</si>
  <si>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</si>
  <si>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</si>
  <si>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</si>
  <si>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</si>
  <si>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</si>
  <si>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</si>
  <si>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</si>
  <si>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</si>
  <si>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</si>
  <si>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</si>
  <si>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</si>
  <si>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</si>
  <si>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</si>
  <si>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</si>
  <si>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</si>
  <si>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</si>
  <si>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</si>
  <si>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</si>
  <si>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</si>
  <si>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</si>
  <si>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</si>
  <si>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</si>
  <si>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</si>
  <si>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</si>
  <si>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</si>
  <si>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</si>
  <si>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</si>
  <si>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</si>
  <si>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</si>
  <si>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</si>
  <si>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</si>
  <si>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</si>
  <si>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</si>
  <si>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</si>
  <si>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</si>
  <si>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</si>
  <si>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</si>
  <si>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</si>
  <si>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</si>
  <si>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</si>
  <si>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</si>
  <si>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</si>
  <si>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</si>
  <si>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</si>
  <si>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</si>
  <si>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</si>
  <si>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</si>
  <si>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</si>
  <si>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</si>
  <si>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</si>
  <si>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</si>
  <si>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</si>
  <si>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</si>
  <si>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</si>
  <si>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</si>
  <si>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</si>
  <si>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</si>
  <si>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</si>
  <si>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</si>
  <si>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</si>
  <si>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</si>
  <si>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</si>
  <si>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</si>
  <si>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</si>
  <si>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</si>
  <si>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</si>
  <si>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</si>
  <si>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</si>
  <si>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</si>
  <si>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</si>
  <si>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</si>
  <si>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</si>
  <si>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</si>
  <si>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</si>
  <si>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</si>
  <si>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</si>
  <si>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</si>
  <si>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</si>
  <si>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</si>
  <si>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</si>
  <si>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</si>
  <si>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</si>
  <si>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</si>
  <si>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</si>
  <si>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</si>
  <si>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</si>
  <si>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</si>
  <si>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</si>
  <si>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</si>
  <si>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</si>
  <si>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</si>
  <si>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</si>
  <si>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</si>
  <si>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</si>
  <si>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</si>
  <si>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</si>
  <si>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</si>
  <si>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</si>
  <si>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</si>
  <si>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</si>
  <si>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</si>
  <si>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</si>
  <si>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</si>
  <si>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</si>
  <si>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</si>
  <si>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</si>
  <si>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</si>
  <si>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</si>
  <si>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</si>
  <si>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</si>
  <si>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</si>
  <si>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</si>
  <si>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</si>
  <si>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</si>
  <si>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</si>
  <si>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</si>
  <si>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</si>
  <si>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</si>
  <si>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</si>
  <si>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</si>
  <si>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</si>
  <si>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</si>
  <si>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</si>
  <si>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</si>
  <si>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</si>
  <si>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</si>
  <si>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</si>
  <si>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</si>
  <si>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</si>
  <si>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</si>
  <si>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</si>
  <si>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</si>
  <si>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</si>
  <si>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</si>
  <si>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</si>
  <si>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</si>
  <si>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</si>
  <si>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</si>
  <si>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</si>
  <si>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</si>
  <si>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</si>
  <si>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</si>
  <si>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</si>
  <si>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</si>
  <si>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</si>
  <si>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</si>
  <si>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</si>
  <si>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</si>
  <si>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</si>
  <si>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</si>
  <si>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</si>
  <si>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</si>
  <si>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</si>
  <si>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</si>
  <si>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</si>
  <si>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</si>
  <si>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</si>
  <si>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</si>
  <si>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</si>
  <si>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</si>
  <si>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</si>
  <si>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</si>
  <si>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</si>
  <si>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</si>
  <si>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</si>
  <si>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</si>
  <si>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</si>
  <si>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</si>
  <si>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</si>
  <si>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</si>
  <si>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</si>
  <si>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</si>
  <si>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</si>
  <si>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</si>
  <si>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</si>
  <si>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</si>
  <si>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</si>
  <si>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</si>
  <si>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</si>
  <si>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</si>
  <si>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</si>
  <si>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</si>
  <si>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</si>
  <si>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</si>
  <si>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</si>
  <si>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</si>
  <si>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</si>
  <si>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</si>
  <si>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</si>
  <si>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</si>
  <si>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</si>
  <si>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</si>
  <si>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</si>
  <si>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</si>
  <si>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</si>
  <si>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</si>
  <si>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</si>
  <si>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</si>
  <si>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</si>
  <si>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</si>
  <si>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</si>
  <si>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</si>
  <si>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</si>
  <si>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</si>
  <si>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</si>
  <si>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</si>
  <si>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</si>
  <si>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</si>
  <si>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</si>
  <si>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</si>
  <si>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</si>
  <si>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</si>
  <si>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</si>
  <si>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</si>
  <si>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</si>
  <si>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</si>
  <si>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</si>
  <si>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</si>
  <si>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</si>
  <si>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</si>
  <si>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</si>
  <si>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</si>
  <si>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</si>
  <si>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</si>
  <si>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</si>
  <si>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</si>
  <si>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</si>
  <si>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</si>
  <si>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</si>
  <si>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</si>
  <si>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</si>
  <si>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divisions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</si>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</sst>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bratkor@gmail.com" TargetMode="External"/><Relationship Id="rId39" Type="http://schemas.openxmlformats.org/officeDocument/2006/relationships/hyperlink" Target="mailto:kiselevu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lehneh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yeguls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mesnikoffj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coucho@gmail.com" TargetMode="External"/><Relationship Id="rId41" Type="http://schemas.openxmlformats.org/officeDocument/2006/relationships/hyperlink" Target="mailto:doe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pothierj@gmail.com" TargetMode="External"/><Relationship Id="rId37" Type="http://schemas.openxmlformats.org/officeDocument/2006/relationships/hyperlink" Target="mailto:penmanj@gmail.com" TargetMode="External"/><Relationship Id="rId40" Type="http://schemas.openxmlformats.org/officeDocument/2006/relationships/hyperlink" Target="mailto:panayotouo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yeguls@gmail.com" TargetMode="External"/><Relationship Id="rId36" Type="http://schemas.openxmlformats.org/officeDocument/2006/relationships/hyperlink" Target="mailto:wallington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sakait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victorv@gmail.com" TargetMode="External"/><Relationship Id="rId30" Type="http://schemas.openxmlformats.org/officeDocument/2006/relationships/hyperlink" Target="mailto:hensonb@gmail.com" TargetMode="External"/><Relationship Id="rId35" Type="http://schemas.openxmlformats.org/officeDocument/2006/relationships/hyperlink" Target="mailto:gambale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workbookViewId="0">
      <selection activeCell="I14" sqref="I14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2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2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42" r:id="rId25" xr:uid="{2AEB583B-7550-4C0D-900D-4FE0D8F55EDF}"/>
    <hyperlink ref="E41" r:id="rId26" xr:uid="{724FD1CA-775A-4778-9B36-0355FE595BC6}"/>
    <hyperlink ref="E40" r:id="rId27" xr:uid="{7085867A-BC3A-4CC0-B4DF-FB14A2D77585}"/>
    <hyperlink ref="E39" r:id="rId28" xr:uid="{784554C1-3956-4CC5-9175-9D9BBAB3FBD1}"/>
    <hyperlink ref="E38" r:id="rId29" xr:uid="{A6DB1AF6-DE34-460C-9B91-BF8FAD0EBA9D}"/>
    <hyperlink ref="E37" r:id="rId30" xr:uid="{260D7481-A37A-428A-B5F4-92CAFE596513}"/>
    <hyperlink ref="E36" r:id="rId31" xr:uid="{30DB060D-6690-46E2-84F9-D65C142341EC}"/>
    <hyperlink ref="E35" r:id="rId32" xr:uid="{145B2557-3DBC-42C0-B9DD-274E409FA39C}"/>
    <hyperlink ref="E34" r:id="rId33" xr:uid="{C43DBA87-8399-4B9A-9904-25E75781DE19}"/>
    <hyperlink ref="E33" r:id="rId34" xr:uid="{2F1A8077-48C4-47E6-87BB-35EC6F3EEEC7}"/>
    <hyperlink ref="E32" r:id="rId35" xr:uid="{EF859223-52DA-43DE-A3F1-F763E997E0F6}"/>
    <hyperlink ref="E31" r:id="rId36" xr:uid="{7FFC64E4-F870-45B9-9EAE-F412E2094E3F}"/>
    <hyperlink ref="E30" r:id="rId37" xr:uid="{5D311B49-CE9E-42A0-95F3-59840DD1CC06}"/>
    <hyperlink ref="E29" r:id="rId38" xr:uid="{32FE333A-0345-4712-A778-7BE8CE3C38DA}"/>
    <hyperlink ref="E28" r:id="rId39" xr:uid="{FF36201C-790D-4CD4-81CA-61AF40EF3431}"/>
    <hyperlink ref="E27" r:id="rId40" xr:uid="{E0713239-7781-4DD1-8826-B6BEEFF66C27}"/>
    <hyperlink ref="E26" r:id="rId41" xr:uid="{BB7EF9F0-2F94-47B9-A406-E1DBCAD59148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opLeftCell="B2" workbookViewId="0">
      <selection activeCell="C20" sqref="C20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5" t="s">
        <v>240</v>
      </c>
      <c r="D2" s="55"/>
      <c r="E2" s="55"/>
      <c r="F2" s="55"/>
      <c r="G2" s="55"/>
      <c r="H2" s="55"/>
      <c r="I2" s="55"/>
      <c r="J2" s="55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3">
        <f>IF(OR(ISBLANK(C38),C26="N/A"),"N/A",C26+TIME(0,C16-C23,0)+TIME(0,E35,0)+(CEILING(C3/(2*C38),1)+IF(C40&gt;0,FLOOR(C3/(2*C40),1),0))*(TIME(0,SUM(F35:K35),0)))</f>
        <v>0.62569444444444433</v>
      </c>
    </row>
    <row r="6" spans="1:13" x14ac:dyDescent="0.4">
      <c r="A6" s="8" t="s">
        <v>86</v>
      </c>
      <c r="B6" s="9" t="s">
        <v>67</v>
      </c>
      <c r="C6" s="5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3"/>
      <c r="E7" s="54"/>
      <c r="F7" s="54"/>
      <c r="G7" s="54"/>
      <c r="H7" s="54"/>
      <c r="I7" s="54"/>
      <c r="J7" s="54"/>
      <c r="K7" s="54"/>
      <c r="L7" s="54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241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242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0.39583333333333331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221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0.54791666666666661</v>
      </c>
      <c r="B26" s="9" t="s">
        <v>81</v>
      </c>
      <c r="C26" s="14">
        <f>IF(COUNTBLANK(C15:C25) &gt; 2, "N/A", A26 + IF(A26&gt;C15, TIME(0, MAX(0, C16 - C25), 0), 0))</f>
        <v>0.56180555555555545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243</v>
      </c>
      <c r="D28" s="44" t="s">
        <v>244</v>
      </c>
      <c r="E28" s="43" t="s">
        <v>245</v>
      </c>
      <c r="F28" s="43" t="s">
        <v>246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247</v>
      </c>
      <c r="D29" s="44" t="s">
        <v>248</v>
      </c>
      <c r="E29" s="43" t="s">
        <v>249</v>
      </c>
      <c r="F29" s="43" t="s">
        <v>250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251</v>
      </c>
      <c r="D30" s="44" t="s">
        <v>252</v>
      </c>
      <c r="E30" s="43" t="s">
        <v>253</v>
      </c>
      <c r="F30" s="43" t="s">
        <v>254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6" t="s">
        <v>255</v>
      </c>
      <c r="D33" s="47" t="s">
        <v>256</v>
      </c>
      <c r="E33" s="46" t="s">
        <v>257</v>
      </c>
      <c r="F33" s="46" t="s">
        <v>258</v>
      </c>
      <c r="K33" s="31"/>
      <c r="L33" s="31"/>
      <c r="M33" s="31"/>
    </row>
    <row r="34" spans="1:13" s="30" customFormat="1" ht="15.45" customHeight="1" x14ac:dyDescent="0.4">
      <c r="A34" s="32" t="s">
        <v>264</v>
      </c>
      <c r="B34" s="29" t="s">
        <v>239</v>
      </c>
      <c r="C34" s="45"/>
      <c r="D34" s="45"/>
      <c r="E34" s="45"/>
      <c r="F34" s="45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8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231</v>
      </c>
      <c r="C39" s="50" t="s">
        <v>222</v>
      </c>
    </row>
    <row r="40" spans="1:13" x14ac:dyDescent="0.4">
      <c r="A40" s="8" t="s">
        <v>233</v>
      </c>
      <c r="B40" s="9" t="s">
        <v>238</v>
      </c>
      <c r="C40" s="49">
        <v>10</v>
      </c>
    </row>
    <row r="41" spans="1:13" s="31" customFormat="1" x14ac:dyDescent="0.4">
      <c r="A41" s="32" t="s">
        <v>105</v>
      </c>
      <c r="B41" s="29" t="s">
        <v>104</v>
      </c>
      <c r="C41" s="51" t="s">
        <v>259</v>
      </c>
      <c r="D41" s="51" t="s">
        <v>260</v>
      </c>
      <c r="E41" s="51" t="s">
        <v>261</v>
      </c>
    </row>
    <row r="42" spans="1:13" s="31" customFormat="1" x14ac:dyDescent="0.4">
      <c r="A42" s="32" t="s">
        <v>140</v>
      </c>
      <c r="B42" s="29" t="s">
        <v>232</v>
      </c>
      <c r="C42" s="51"/>
      <c r="D42" s="51" t="s">
        <v>262</v>
      </c>
      <c r="E42" s="51" t="s">
        <v>263</v>
      </c>
    </row>
  </sheetData>
  <sheetProtection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5:XFD35 A34:B34 G34:XFD34">
    <cfRule type="expression" dxfId="15" priority="14">
      <formula>AND(COLUMN() &gt; 2, NOT(ISBLANK(A$33)))</formula>
    </cfRule>
  </conditionalFormatting>
  <conditionalFormatting sqref="A41:B41 F41:XFD41">
    <cfRule type="expression" dxfId="14" priority="23">
      <formula>AND(COLUMN() - 2 &gt; $C$38, NOT(ISBLANK(A41)))</formula>
    </cfRule>
    <cfRule type="expression" dxfId="13" priority="24">
      <formula>AND(COLUMN() &gt; 2, COLUMN()  - 3 &lt; $C$38, NOT(ISBLANK(A41)))</formula>
    </cfRule>
    <cfRule type="expression" dxfId="12" priority="25">
      <formula>AND(COLUMN() &gt; 2, COLUMN() - 3 &lt; $C$38)</formula>
    </cfRule>
  </conditionalFormatting>
  <conditionalFormatting sqref="A42:B42 F42:XFD42">
    <cfRule type="expression" dxfId="11" priority="26">
      <formula>AND(OR(ISBLANK(A41), COLUMN() - 2 &gt; $C$38), NOT(ISBLANK(A42)))</formula>
    </cfRule>
    <cfRule type="expression" dxfId="10" priority="27">
      <formula>AND(COLUMN() &gt; 2, COLUMN() - 3 &lt; $C$38, NOT(ISBLANK(A41)))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1:E41">
    <cfRule type="expression" dxfId="4" priority="1">
      <formula>AND(COLUMN() - 2 &gt; $C$38, NOT(ISBLANK(C41)))</formula>
    </cfRule>
    <cfRule type="expression" dxfId="3" priority="2">
      <formula>AND(COLUMN() &gt; 2, COLUMN()  - 3 &lt; $C$38, NOT(ISBLANK(C41)))</formula>
    </cfRule>
    <cfRule type="expression" dxfId="2" priority="3">
      <formula>AND(COLUMN() &gt; 2, COLUMN() - 3 &lt; $C$38)</formula>
    </cfRule>
  </conditionalFormatting>
  <conditionalFormatting sqref="C42:E42">
    <cfRule type="expression" dxfId="1" priority="4">
      <formula>AND(OR(ISBLANK(C41), COLUMN() - 2 &gt; $C$38), NOT(ISBLANK(C42)))</formula>
    </cfRule>
    <cfRule type="expression" dxfId="0" priority="5">
      <formula>AND(COLUMN() &gt; 2, COLUMN() - 3 &lt; $C$38, NOT(ISBLANK(C41)))</formula>
    </cfRule>
  </conditionalFormatting>
  <dataValidations count="9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  <dataValidation type="list" allowBlank="1" showInputMessage="1" showErrorMessage="1" sqref="C21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2019-09-30T22:20:18Z</dcterms:modified>
</cp:coreProperties>
</file>