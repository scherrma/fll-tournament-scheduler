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2DAB7C44-1067-47A6-B8C7-38F719324C08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<sst xmlns="http://schemas.openxmlformats.org/spreadsheetml/2006/main" count="180" uniqueCount="178">
  <si>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</si>
  <si>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</si>
  <si>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</si>
  <si>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</si>
  <si>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</si>
  <si>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</si>
  <si>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</si>
  <si>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</si>
  <si>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</si>
  <si>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</si>
  <si>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</si>
  <si>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</si>
  <si>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</si>
  <si>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</si>
  <si>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</si>
  <si>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</si>
  <si>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</si>
  <si>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</si>
  <si>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</si>
  <si>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</si>
  <si>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</si>
  <si>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</si>
  <si>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</si>
  <si>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</si>
  <si>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</si>
  <si>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</si>
  <si>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</si>
  <si>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</si>
  <si>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</si>
  <si>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</si>
  <si>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</si>
  <si>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</si>
  <si>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</si>
  <si>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</si>
  <si>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</si>
  <si>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</si>
  <si>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</si>
  <si>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</si>
  <si>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</si>
  <si>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</si>
  <si>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</si>
  <si>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</si>
  <si>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</si>
  <si>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</si>
  <si>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</si>
  <si>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</si>
  <si>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</si>
  <si>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</si>
  <si>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</si>
  <si>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</si>
  <si>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</si>
  <si>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</si>
  <si>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</si>
  <si>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</si>
  <si>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</si>
  <si>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</si>
  <si>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</si>
  <si>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</si>
  <si>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</si>
  <si>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</si>
  <si>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</si>
  <si>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</si>
  <si>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</si>
  <si>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</si>
  <si>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</si>
  <si>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</si>
  <si>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</si>
  <si>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</si>
  <si>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</si>
  <si>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</si>
  <si>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</si>
  <si>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</si>
  <si>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</si>
  <si>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</si>
  <si>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</si>
  <si>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</si>
  <si>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</si>
  <si>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</si>
  <si>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</si>
  <si>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</si>
  <si>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</si>
  <si>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</si>
  <si>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</si>
  <si>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</si>
  <si>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</si>
  <si>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</si>
  <si>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</si>
  <si>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</si>
  <si>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</si>
  <si>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</si>
  <si>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</si>
  <si>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</si>
  <si>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</si>
  <si>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</si>
  <si>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</si>
  <si>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</si>
  <si>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</si>
  <si>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</si>
  <si>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</si>
  <si>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</si>
  <si>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</si>
  <si>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</si>
  <si>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</si>
  <si>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</si>
  <si>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</si>
  <si>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</si>
  <si>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</si>
  <si>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</si>
  <si>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</si>
  <si>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</si>
  <si>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</si>
  <si>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</si>
  <si>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</si>
  <si>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</si>
  <si>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</si>
  <si>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</si>
  <si>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</si>
  <si>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</si>
  <si>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</si>
  <si>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</si>
  <si>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</si>
  <si>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</si>
  <si>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</si>
  <si>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</si>
  <si>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</si>
  <si>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</si>
  <si>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</si>
  <si>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</si>
  <si>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</si>
  <si>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</si>
  <si>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</si>
  <si>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</si>
  <si>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</si>
  <si>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</si>
  <si>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</si>
  <si>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</si>
  <si>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</si>
  <si>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</si>
  <si>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</si>
  <si>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</si>
  <si>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</si>
  <si>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</si>
  <si>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</si>
  <si>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</si>
  <si>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</si>
  <si>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</si>
  <si>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</si>
  <si>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</si>
  <si>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</si>
  <si>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</si>
  <si>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</si>
  <si>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</si>
  <si>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</si>
  <si>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</si>
  <si>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</si>
  <si>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</si>
  <si>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</si>
  <si>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P1</t>
  </si>
  <si>
    <t>P2</t>
  </si>
  <si>
    <t>RD1</t>
  </si>
  <si>
    <t>RD2</t>
  </si>
  <si>
    <t>CV 1</t>
  </si>
  <si>
    <t>CV 2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</si>
  <si>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</si>
  <si>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</si>
  <si>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</si>
  <si>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</si>
  <si>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</si>
  <si>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</si>
  <si>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</si>
  <si>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</si>
  <si>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</si>
  <si>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</si>
  <si>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</si>
  <si>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</si>
  <si>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</si>
  <si>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</si>
  <si>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nodivisions small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</si>
</sst>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workbookViewId="0">
      <selection activeCell="B20" sqref="B20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107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4" t="s">
        <v>108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" t="s">
        <v>109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" t="s">
        <v>110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" t="s">
        <v>111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" t="s">
        <v>112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" t="s">
        <v>113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" t="s">
        <v>114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" t="s">
        <v>115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" t="s">
        <v>116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" t="s">
        <v>117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" t="s">
        <v>118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" t="s">
        <v>119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" t="s">
        <v>120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" t="s">
        <v>121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" t="s">
        <v>122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" t="s">
        <v>123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" t="s">
        <v>124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" t="s">
        <v>125</v>
      </c>
      <c r="E19" s="1" t="s">
        <v>59</v>
      </c>
    </row>
    <row r="20" spans="1:10" customFormat="1" x14ac:dyDescent="0.4">
      <c r="A20" s="2">
        <v>38561</v>
      </c>
      <c r="B20" s="2" t="s">
        <v>61</v>
      </c>
      <c r="C20" s="2" t="s">
        <v>62</v>
      </c>
      <c r="D20" s="4" t="s">
        <v>126</v>
      </c>
      <c r="E20" s="2" t="s">
        <v>63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" t="s">
        <v>127</v>
      </c>
      <c r="E21" s="1" t="s">
        <v>60</v>
      </c>
      <c r="F21"/>
      <c r="G21"/>
    </row>
    <row r="22" spans="1:10" x14ac:dyDescent="0.4">
      <c r="A22" s="2">
        <v>15289</v>
      </c>
      <c r="B22" s="2" t="s">
        <v>142</v>
      </c>
      <c r="C22" s="2" t="s">
        <v>143</v>
      </c>
      <c r="D22" s="4" t="s">
        <v>144</v>
      </c>
      <c r="E22" s="2" t="s">
        <v>145</v>
      </c>
      <c r="F22"/>
      <c r="G22"/>
    </row>
    <row r="23" spans="1:10" x14ac:dyDescent="0.4">
      <c r="D23" s="4"/>
      <c r="F23"/>
      <c r="G23"/>
    </row>
    <row r="24" spans="1:10" x14ac:dyDescent="0.4">
      <c r="D24" s="4"/>
      <c r="F24"/>
      <c r="G24"/>
    </row>
    <row r="25" spans="1:10" x14ac:dyDescent="0.4">
      <c r="D25" s="4"/>
      <c r="F25"/>
      <c r="G25"/>
    </row>
    <row r="26" spans="1:10" x14ac:dyDescent="0.4">
      <c r="D26" s="4"/>
      <c r="F26"/>
      <c r="G26"/>
    </row>
    <row r="27" spans="1:10" x14ac:dyDescent="0.4">
      <c r="D27" s="4"/>
      <c r="F27"/>
      <c r="G27"/>
    </row>
    <row r="28" spans="1:10" x14ac:dyDescent="0.4">
      <c r="D28" s="4"/>
      <c r="F28"/>
      <c r="G28"/>
    </row>
    <row r="29" spans="1:10" x14ac:dyDescent="0.4">
      <c r="D29" s="4"/>
      <c r="F29"/>
      <c r="G29"/>
    </row>
    <row r="30" spans="1:10" x14ac:dyDescent="0.4">
      <c r="D30" s="4"/>
      <c r="F30"/>
      <c r="G30"/>
    </row>
    <row r="31" spans="1:10" x14ac:dyDescent="0.4">
      <c r="D31" s="4"/>
      <c r="F31"/>
      <c r="G31"/>
    </row>
    <row r="32" spans="1:10" x14ac:dyDescent="0.4">
      <c r="D32" s="4"/>
      <c r="F32"/>
      <c r="G32"/>
    </row>
    <row r="33" spans="4:7" x14ac:dyDescent="0.4">
      <c r="D33" s="4"/>
      <c r="F33"/>
      <c r="G33"/>
    </row>
    <row r="34" spans="4:7" x14ac:dyDescent="0.4">
      <c r="D34" s="4"/>
      <c r="F34"/>
      <c r="G34"/>
    </row>
    <row r="35" spans="4:7" x14ac:dyDescent="0.4">
      <c r="D35" s="4"/>
      <c r="F35"/>
      <c r="G35"/>
    </row>
    <row r="36" spans="4:7" x14ac:dyDescent="0.4">
      <c r="D36" s="4"/>
      <c r="F36"/>
      <c r="G36"/>
    </row>
    <row r="37" spans="4:7" x14ac:dyDescent="0.4">
      <c r="D37" s="4"/>
      <c r="F37"/>
      <c r="G37"/>
    </row>
    <row r="38" spans="4:7" x14ac:dyDescent="0.4">
      <c r="D38" s="4"/>
      <c r="F38"/>
      <c r="G38"/>
    </row>
    <row r="39" spans="4:7" x14ac:dyDescent="0.4">
      <c r="D39" s="4"/>
      <c r="F39"/>
      <c r="G39"/>
    </row>
    <row r="40" spans="4:7" x14ac:dyDescent="0.4">
      <c r="D40" s="4"/>
      <c r="F40"/>
      <c r="G40"/>
    </row>
    <row r="41" spans="4:7" x14ac:dyDescent="0.4">
      <c r="D41" s="4"/>
      <c r="F41"/>
      <c r="G41"/>
    </row>
    <row r="42" spans="4:7" x14ac:dyDescent="0.4">
      <c r="D42" s="4"/>
    </row>
    <row r="43" spans="4:7" x14ac:dyDescent="0.4">
      <c r="D43" s="4"/>
    </row>
    <row r="44" spans="4:7" x14ac:dyDescent="0.4">
      <c r="D44" s="4"/>
    </row>
  </sheetData>
  <hyperlinks>
    <hyperlink ref="D2" r:id="rId1" xr:uid="{7BDAF074-B816-4B71-BB52-626830437EB0}"/>
    <hyperlink ref="D3" r:id="rId2" xr:uid="{6DBA12EA-FD8C-4AFE-BFDB-893F935B2870}"/>
    <hyperlink ref="D4" r:id="rId3" xr:uid="{A410A3CD-E4C7-4F79-B091-F115BCA0AEAC}"/>
    <hyperlink ref="D5" r:id="rId4" xr:uid="{F451688E-3F58-4983-B043-CF2DE590598B}"/>
    <hyperlink ref="D6" r:id="rId5" xr:uid="{C276830A-4023-421F-9FC2-40DB3A64DAA9}"/>
    <hyperlink ref="D7" r:id="rId6" xr:uid="{D0307CA0-BC0A-43D3-83CB-0A3F00FA17A7}"/>
    <hyperlink ref="D8" r:id="rId7" xr:uid="{A1A127A5-FAD7-4632-9408-58526E88C03F}"/>
    <hyperlink ref="D9" r:id="rId8" xr:uid="{1DA7D085-20C6-4393-9EAA-182F4B68071B}"/>
    <hyperlink ref="D10" r:id="rId9" xr:uid="{36B8063F-66BF-4F22-91DC-82B6F3351788}"/>
    <hyperlink ref="D11" r:id="rId10" xr:uid="{DCFF365E-739A-4A26-9DF5-9F1C3D5E1009}"/>
    <hyperlink ref="D12" r:id="rId11" xr:uid="{113A3622-98F1-4ADD-97E1-18107C18CD61}"/>
    <hyperlink ref="D13" r:id="rId12" xr:uid="{C99D50C7-D98D-4CB6-B7D4-C7C4D8115E02}"/>
    <hyperlink ref="D14" r:id="rId13" xr:uid="{1A7774CF-9DCE-448F-BDBD-98CA7B293F73}"/>
    <hyperlink ref="D15" r:id="rId14" xr:uid="{1F0AAF60-EA48-4E0B-9111-13421A024899}"/>
    <hyperlink ref="D16" r:id="rId15" xr:uid="{0122DACF-E0BA-4CEC-B5B7-0108B9AC399C}"/>
    <hyperlink ref="D17" r:id="rId16" xr:uid="{B2370D20-63DB-48D3-B610-DCD08C33DAE6}"/>
    <hyperlink ref="D18" r:id="rId17" xr:uid="{25574901-65BB-4D51-9D1F-37EBC110A55C}"/>
    <hyperlink ref="D19" r:id="rId18" xr:uid="{45F092B9-7EDC-4661-8D38-2FBE25D73A39}"/>
    <hyperlink ref="D20" r:id="rId19" xr:uid="{06C21CAB-3BE5-4628-BF61-7EC1FA3BCF1C}"/>
    <hyperlink ref="D21" r:id="rId20" xr:uid="{E5639F65-3EB8-4A3C-ADFD-6B230B6F3B78}"/>
    <hyperlink ref="D22" r:id="rId21" xr:uid="{297A346E-C842-4859-ABD4-E6EC0F9415A3}"/>
  </hyperlinks>
  <pageMargins left="0.7" right="0.7" top="0.75" bottom="0.75" header="0.3" footer="0.3"/>
  <pageSetup orientation="portrait" r:id="rId2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8" sqref="C38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177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21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0.61111111111111094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155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149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156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152</v>
      </c>
      <c r="B14" s="10" t="s">
        <v>174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153</v>
      </c>
      <c r="B15" s="10" t="s">
        <v>175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150</v>
      </c>
      <c r="B16" s="10" t="s">
        <v>176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146</v>
      </c>
      <c r="B17" s="14"/>
      <c r="H17" s="36"/>
      <c r="J17" s="36"/>
    </row>
    <row r="18" spans="1:13" x14ac:dyDescent="0.4">
      <c r="A18" s="9" t="s">
        <v>147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2</v>
      </c>
      <c r="D20" s="22">
        <f>CEILING(C3/12, 1)</f>
        <v>2</v>
      </c>
      <c r="E20" s="19"/>
    </row>
    <row r="21" spans="1:13" x14ac:dyDescent="0.4">
      <c r="A21" s="9" t="s">
        <v>90</v>
      </c>
      <c r="B21" s="10" t="s">
        <v>75</v>
      </c>
      <c r="C21" s="31" t="s">
        <v>147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 x14ac:dyDescent="0.4">
      <c r="A22" s="9" t="s">
        <v>148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4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 x14ac:dyDescent="0.4">
      <c r="A26" s="38">
        <f>MAX(C19:D19) + C22*TIME(0, C23, 0) + TIME(0, C25, 0)*FLOOR((C22 - IF(C21="Yes", 3, 2))/C24, 1)</f>
        <v>0.54999999999999993</v>
      </c>
      <c r="B26" s="10" t="s">
        <v>82</v>
      </c>
      <c r="C26" s="15">
        <f>IF(COUNTBLANK(C15:C25) &gt; 2, "N/A", A26 + IF(A26&gt;C15, TIME(0, MAX(0, C16 - C25), 0), 0))</f>
        <v>0.56388888888888877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157</v>
      </c>
      <c r="D28" s="34" t="s">
        <v>158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159</v>
      </c>
      <c r="D29" s="34" t="s">
        <v>160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161</v>
      </c>
      <c r="D30" s="34" t="s">
        <v>162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151</v>
      </c>
      <c r="C33" s="33" t="s">
        <v>163</v>
      </c>
      <c r="D33" s="34" t="s">
        <v>164</v>
      </c>
      <c r="E33" s="33" t="s">
        <v>165</v>
      </c>
      <c r="F33" s="33" t="s">
        <v>166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2</v>
      </c>
      <c r="D37" s="12">
        <f>IF(OR(ISBLANK(C20), COUNTBLANK(C23:C25) &gt; 0), "N/A", CEILING(3/2*C20*C34/(C23+C25/C24), 1))</f>
        <v>2</v>
      </c>
    </row>
    <row r="38" spans="1:13" x14ac:dyDescent="0.4">
      <c r="A38" s="9" t="s">
        <v>154</v>
      </c>
      <c r="B38" s="10" t="s">
        <v>167</v>
      </c>
      <c r="C38" s="31" t="s">
        <v>147</v>
      </c>
    </row>
    <row r="39" spans="1:13" x14ac:dyDescent="0.4">
      <c r="A39" s="9" t="s">
        <v>173</v>
      </c>
      <c r="B39" s="10" t="s">
        <v>172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168</v>
      </c>
      <c r="D40" s="34" t="s">
        <v>169</v>
      </c>
    </row>
    <row r="41" spans="1:13" s="34" customFormat="1" x14ac:dyDescent="0.4">
      <c r="A41" s="35" t="s">
        <v>141</v>
      </c>
      <c r="B41" s="32" t="s">
        <v>171</v>
      </c>
      <c r="D41" s="34" t="s">
        <v>170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2019-05-03T18:55:26Z</dcterms:modified>
</cp:coreProperties>
</file>