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97F56470-F4EC-4229-975A-3269E7A0747C}" xr6:coauthVersionLast="44" xr6:coauthVersionMax="44" xr10:uidLastSave="{00000000-0000-0000-0000-000000000000}"/>
  <bookViews>
    <workbookView xWindow="39210" yWindow="-120" windowWidth="37710" windowHeight="2184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<sst xmlns="http://schemas.openxmlformats.org/spreadsheetml/2006/main" count="182" uniqueCount="180">
  <si>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</si>
  <si>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</si>
  <si>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</si>
  <si>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</si>
  <si>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</si>
  <si>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</si>
  <si>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</si>
  <si>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</si>
  <si>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</si>
  <si>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</si>
  <si>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</si>
  <si>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</si>
  <si>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</si>
  <si>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</si>
  <si>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</si>
  <si>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</si>
  <si>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</si>
  <si>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</si>
  <si>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</si>
  <si>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</si>
  <si>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</si>
  <si>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</si>
  <si>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</si>
  <si>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</si>
  <si>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</si>
  <si>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</si>
  <si>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</si>
  <si>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</si>
  <si>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</si>
  <si>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</si>
  <si>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</si>
  <si>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</si>
  <si>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</si>
  <si>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</si>
  <si>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</si>
  <si>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</si>
  <si>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</si>
  <si>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</si>
  <si>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</si>
  <si>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</si>
  <si>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</si>
  <si>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</si>
  <si>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</si>
  <si>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</si>
  <si>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</si>
  <si>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</si>
  <si>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</si>
  <si>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</si>
  <si>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</si>
  <si>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</si>
  <si>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</si>
  <si>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</si>
  <si>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</si>
  <si>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</si>
  <si>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</si>
  <si>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</si>
  <si>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</si>
  <si>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</si>
  <si>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</si>
  <si>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</si>
  <si>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</si>
  <si>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</si>
  <si>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</si>
  <si>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</si>
  <si>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</si>
  <si>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</si>
  <si>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</si>
  <si>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</si>
  <si>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</si>
  <si>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</si>
  <si>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</si>
  <si>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</si>
  <si>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</si>
  <si>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</si>
  <si>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</si>
  <si>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</si>
  <si>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</si>
  <si>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</si>
  <si>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</si>
  <si>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</si>
  <si>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</si>
  <si>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</si>
  <si>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</si>
  <si>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</si>
  <si>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</si>
  <si>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</si>
  <si>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</si>
  <si>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</si>
  <si>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</si>
  <si>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</si>
  <si>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</si>
  <si>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</si>
  <si>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</si>
  <si>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</si>
  <si>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</si>
  <si>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</si>
  <si>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</si>
  <si>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</si>
  <si>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</si>
  <si>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</si>
  <si>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</si>
  <si>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</si>
  <si>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</si>
  <si>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</si>
  <si>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</si>
  <si>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</si>
  <si>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</si>
  <si>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</si>
  <si>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</si>
  <si>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</si>
  <si>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</si>
  <si>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</si>
  <si>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</si>
  <si>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</si>
  <si>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</si>
  <si>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</si>
  <si>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</si>
  <si>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</si>
  <si>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</si>
  <si>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</si>
  <si>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</si>
  <si>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</si>
  <si>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</si>
  <si>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</si>
  <si>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</si>
  <si>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</si>
  <si>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</si>
  <si>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</si>
  <si>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</si>
  <si>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</si>
  <si>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</si>
  <si>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</si>
  <si>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</si>
  <si>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</si>
  <si>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</si>
  <si>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</si>
  <si>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</si>
  <si>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</si>
  <si>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</si>
  <si>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</si>
  <si>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</si>
  <si>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</si>
  <si>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</si>
  <si>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</si>
  <si>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</si>
  <si>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</si>
  <si>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</si>
  <si>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</si>
  <si>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</si>
  <si>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</si>
  <si>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</si>
  <si>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</si>
  <si>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</si>
  <si>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</si>
  <si>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</si>
  <si>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</si>
  <si>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</si>
  <si>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</si>
  <si>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</si>
  <si>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</si>
  <si>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</si>
  <si>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</si>
  <si>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</si>
  <si>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</si>
  <si>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</si>
  <si>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</si>
  <si>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</si>
  <si>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</si>
  <si>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RD1</t>
  </si>
  <si>
    <t>RD2</t>
  </si>
  <si>
    <t>CV 1</t>
  </si>
  <si>
    <t>CV 2</t>
  </si>
  <si>
    <t>Rd 1</t>
  </si>
  <si>
    <t>Rd 2</t>
  </si>
  <si>
    <t>Rd 3</t>
  </si>
  <si>
    <t>Hubert</t>
  </si>
  <si>
    <t>Louis</t>
  </si>
  <si>
    <t>Dewford</t>
  </si>
  <si>
    <t>nodivisions small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</si>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</sst>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1057275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opLeftCell="A3" workbookViewId="0">
      <selection activeCell="B30" sqref="B30"/>
    </sheetView>
  </sheetViews>
  <sheetFormatPr defaultColWidth="9.28515625" defaultRowHeight="15" x14ac:dyDescent="0.25"/>
  <cols>
    <col min="1" max="1" width="16.85546875" style="2" customWidth="1"/>
    <col min="2" max="2" width="33" style="2" customWidth="1"/>
    <col min="3" max="3" width="20.7109375" style="2" customWidth="1"/>
    <col min="4" max="4" width="31.5703125" style="2" customWidth="1"/>
    <col min="5" max="5" width="18.28515625" style="2" customWidth="1"/>
    <col min="6" max="6" width="9.28515625" style="2"/>
    <col min="7" max="7" width="19.5703125" style="2" bestFit="1" customWidth="1"/>
    <col min="8" max="8" width="10.85546875" style="2" customWidth="1"/>
    <col min="9" max="9" width="11" style="2" customWidth="1"/>
    <col min="10" max="10" width="9.28515625" style="2" customWidth="1"/>
    <col min="11" max="11" width="21.85546875" style="2" customWidth="1"/>
    <col min="12" max="12" width="26.42578125" style="2" customWidth="1"/>
    <col min="13" max="13" width="28.7109375" style="2" customWidth="1"/>
    <col min="14" max="16384" width="9.28515625" style="2"/>
  </cols>
  <sheetData>
    <row r="1" spans="1:13" x14ac:dyDescent="0.25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25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25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25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25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25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25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25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25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25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25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25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25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25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25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25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25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25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25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25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25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25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25">
      <c r="D23" s="4"/>
      <c r="F23"/>
      <c r="G23"/>
    </row>
    <row r="24" spans="1:10" x14ac:dyDescent="0.25">
      <c r="D24" s="4"/>
      <c r="F24"/>
      <c r="G24"/>
    </row>
    <row r="25" spans="1:10" x14ac:dyDescent="0.25">
      <c r="D25" s="4"/>
      <c r="F25"/>
      <c r="G25"/>
    </row>
    <row r="26" spans="1:10" x14ac:dyDescent="0.25">
      <c r="D26" s="4"/>
      <c r="F26"/>
      <c r="G26"/>
    </row>
    <row r="27" spans="1:10" x14ac:dyDescent="0.25">
      <c r="D27" s="4"/>
      <c r="F27"/>
      <c r="G27"/>
    </row>
    <row r="28" spans="1:10" x14ac:dyDescent="0.25">
      <c r="D28" s="4"/>
      <c r="F28"/>
      <c r="G28"/>
    </row>
    <row r="29" spans="1:10" x14ac:dyDescent="0.25">
      <c r="D29" s="4"/>
      <c r="F29"/>
      <c r="G29"/>
    </row>
    <row r="30" spans="1:10" x14ac:dyDescent="0.25">
      <c r="D30" s="4"/>
      <c r="F30"/>
      <c r="G30"/>
    </row>
    <row r="31" spans="1:10" x14ac:dyDescent="0.25">
      <c r="D31" s="4"/>
      <c r="F31"/>
      <c r="G31"/>
    </row>
    <row r="32" spans="1:10" x14ac:dyDescent="0.25">
      <c r="D32" s="4"/>
      <c r="F32"/>
      <c r="G32"/>
    </row>
    <row r="33" spans="4:7" x14ac:dyDescent="0.25">
      <c r="D33" s="4"/>
      <c r="F33"/>
      <c r="G33"/>
    </row>
    <row r="34" spans="4:7" x14ac:dyDescent="0.25">
      <c r="D34" s="4"/>
      <c r="F34"/>
      <c r="G34"/>
    </row>
    <row r="35" spans="4:7" x14ac:dyDescent="0.25">
      <c r="D35" s="4"/>
      <c r="F35"/>
      <c r="G35"/>
    </row>
    <row r="36" spans="4:7" x14ac:dyDescent="0.25">
      <c r="D36" s="4"/>
      <c r="F36"/>
      <c r="G36"/>
    </row>
    <row r="37" spans="4:7" x14ac:dyDescent="0.25">
      <c r="D37" s="4"/>
      <c r="F37"/>
      <c r="G37"/>
    </row>
    <row r="38" spans="4:7" x14ac:dyDescent="0.25">
      <c r="D38" s="4"/>
      <c r="F38"/>
      <c r="G38"/>
    </row>
    <row r="39" spans="4:7" x14ac:dyDescent="0.25">
      <c r="D39" s="4"/>
      <c r="F39"/>
      <c r="G39"/>
    </row>
    <row r="40" spans="4:7" x14ac:dyDescent="0.25">
      <c r="D40" s="4"/>
      <c r="F40"/>
      <c r="G40"/>
    </row>
    <row r="41" spans="4:7" x14ac:dyDescent="0.25">
      <c r="D41" s="4"/>
      <c r="F41"/>
      <c r="G41"/>
    </row>
    <row r="42" spans="4:7" x14ac:dyDescent="0.25">
      <c r="D42" s="4"/>
    </row>
    <row r="43" spans="4:7" x14ac:dyDescent="0.25">
      <c r="D43" s="4"/>
    </row>
    <row r="44" spans="4:7" x14ac:dyDescent="0.25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38" sqref="C38"/>
    </sheetView>
  </sheetViews>
  <sheetFormatPr defaultColWidth="9.28515625" defaultRowHeight="15" x14ac:dyDescent="0.25"/>
  <cols>
    <col min="1" max="1" width="22.140625" style="8" hidden="1" customWidth="1"/>
    <col min="2" max="2" width="64.5703125" style="9" customWidth="1"/>
    <col min="3" max="3" width="15.42578125" style="10" customWidth="1"/>
    <col min="4" max="4" width="20.85546875" style="11" customWidth="1"/>
    <col min="5" max="5" width="9.28515625" style="12" customWidth="1"/>
    <col min="6" max="6" width="12.28515625" style="12" customWidth="1"/>
    <col min="7" max="7" width="10.42578125" style="12" customWidth="1"/>
    <col min="8" max="8" width="9.28515625" style="12"/>
    <col min="9" max="9" width="9.28515625" style="12" customWidth="1"/>
    <col min="10" max="10" width="23.5703125" style="12" customWidth="1"/>
    <col min="11" max="11" width="18.5703125" style="11" customWidth="1"/>
    <col min="12" max="13" width="23.85546875" style="11" customWidth="1"/>
    <col min="14" max="14" width="9.28515625" style="12"/>
    <col min="15" max="15" width="21.140625" style="12" customWidth="1"/>
    <col min="16" max="16384" width="9.28515625" style="12"/>
  </cols>
  <sheetData>
    <row r="1" spans="1:13" hidden="1" x14ac:dyDescent="0.25">
      <c r="A1" s="8" t="s">
        <v>102</v>
      </c>
      <c r="B1" s="9" t="s">
        <v>101</v>
      </c>
      <c r="C1" s="10" t="s">
        <v>103</v>
      </c>
    </row>
    <row r="2" spans="1:13" s="25" customFormat="1" ht="18.75" x14ac:dyDescent="0.3">
      <c r="A2" s="26" t="s">
        <v>96</v>
      </c>
      <c r="B2" s="27" t="s">
        <v>66</v>
      </c>
      <c r="C2" s="50" t="s">
        <v>178</v>
      </c>
      <c r="D2" s="51"/>
      <c r="E2" s="51"/>
      <c r="F2" s="51"/>
      <c r="G2" s="51"/>
      <c r="H2" s="51"/>
      <c r="I2" s="51"/>
      <c r="J2" s="52"/>
      <c r="K2" s="24"/>
      <c r="L2" s="24"/>
      <c r="M2" s="24"/>
    </row>
    <row r="3" spans="1:13" ht="15.75" x14ac:dyDescent="0.25">
      <c r="B3" s="9" t="s">
        <v>74</v>
      </c>
      <c r="C3" s="10">
        <f>COUNTA('Team Information'!A:A) - COUNTA('Team Information'!A1)</f>
        <v>21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0.61666666666666647</v>
      </c>
    </row>
    <row r="6" spans="1:13" x14ac:dyDescent="0.25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25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25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25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25">
      <c r="A10" s="8" t="s">
        <v>132</v>
      </c>
      <c r="B10" s="9" t="s">
        <v>135</v>
      </c>
      <c r="C10" s="40" t="s">
        <v>164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25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25">
      <c r="A12" s="8" t="s">
        <v>130</v>
      </c>
      <c r="B12" s="9" t="s">
        <v>148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25">
      <c r="A13" s="8" t="s">
        <v>136</v>
      </c>
      <c r="B13" s="9" t="s">
        <v>137</v>
      </c>
      <c r="C13" s="40" t="s">
        <v>165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25">
      <c r="A14" s="8" t="s">
        <v>151</v>
      </c>
      <c r="B14" s="9" t="s">
        <v>157</v>
      </c>
      <c r="C14" s="38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25">
      <c r="A15" s="8" t="s">
        <v>152</v>
      </c>
      <c r="B15" s="9" t="s">
        <v>158</v>
      </c>
      <c r="C15" s="38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25">
      <c r="A16" s="8" t="s">
        <v>149</v>
      </c>
      <c r="B16" s="9" t="s">
        <v>159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25">
      <c r="A17" s="8" t="s">
        <v>145</v>
      </c>
      <c r="B17" s="13"/>
      <c r="H17" s="35"/>
      <c r="J17" s="35"/>
    </row>
    <row r="18" spans="1:13" x14ac:dyDescent="0.25">
      <c r="A18" s="8" t="s">
        <v>146</v>
      </c>
      <c r="B18" s="13" t="s">
        <v>72</v>
      </c>
      <c r="D18" s="15" t="s">
        <v>69</v>
      </c>
    </row>
    <row r="19" spans="1:13" x14ac:dyDescent="0.25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25">
      <c r="A20" s="8" t="s">
        <v>88</v>
      </c>
      <c r="B20" s="9" t="s">
        <v>77</v>
      </c>
      <c r="C20" s="41">
        <v>2</v>
      </c>
      <c r="D20" s="21">
        <f>CEILING(C3/12, 1)</f>
        <v>2</v>
      </c>
      <c r="E20" s="18"/>
    </row>
    <row r="21" spans="1:13" x14ac:dyDescent="0.25">
      <c r="A21" s="8" t="s">
        <v>89</v>
      </c>
      <c r="B21" s="9" t="s">
        <v>75</v>
      </c>
      <c r="C21" s="43" t="s">
        <v>145</v>
      </c>
      <c r="D21" s="21" t="str">
        <f>IF(COUNTIF('Team Information'!$1:$1, "Division") &gt; 0, "Disabled with divisions", IF(OR(MOD(C3, 2), C20 &gt; 2), "Yes", "No"))</f>
        <v>Yes</v>
      </c>
      <c r="E21" s="18"/>
    </row>
    <row r="22" spans="1:13" x14ac:dyDescent="0.25">
      <c r="A22" s="8" t="s">
        <v>147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25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25">
      <c r="A24" s="8" t="s">
        <v>91</v>
      </c>
      <c r="B24" s="9" t="s">
        <v>160</v>
      </c>
      <c r="C24" s="44">
        <v>4</v>
      </c>
      <c r="D24" s="11">
        <v>3</v>
      </c>
    </row>
    <row r="25" spans="1:13" x14ac:dyDescent="0.25">
      <c r="A25" s="8" t="s">
        <v>92</v>
      </c>
      <c r="B25" s="9" t="s">
        <v>79</v>
      </c>
      <c r="C25" s="44">
        <v>10</v>
      </c>
      <c r="D25" s="11">
        <f>IF(OR(C24 = 0, ISBLANK(C24), ISBLANK(C23)), "", MAX(C24*(20 - C23), 0))</f>
        <v>10</v>
      </c>
    </row>
    <row r="26" spans="1:13" x14ac:dyDescent="0.25">
      <c r="A26" s="37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25">
      <c r="C27" s="14"/>
      <c r="K27" s="15"/>
      <c r="L27" s="15"/>
      <c r="M27" s="15"/>
    </row>
    <row r="28" spans="1:13" s="32" customFormat="1" x14ac:dyDescent="0.25">
      <c r="A28" s="34" t="s">
        <v>97</v>
      </c>
      <c r="B28" s="31" t="s">
        <v>64</v>
      </c>
      <c r="C28" s="45" t="s">
        <v>166</v>
      </c>
      <c r="D28" s="46" t="s">
        <v>167</v>
      </c>
      <c r="K28" s="33"/>
      <c r="L28" s="33"/>
      <c r="M28" s="33"/>
    </row>
    <row r="29" spans="1:13" s="32" customFormat="1" x14ac:dyDescent="0.25">
      <c r="A29" s="34" t="s">
        <v>98</v>
      </c>
      <c r="B29" s="31" t="s">
        <v>65</v>
      </c>
      <c r="C29" s="45" t="s">
        <v>168</v>
      </c>
      <c r="D29" s="46" t="s">
        <v>169</v>
      </c>
      <c r="K29" s="33"/>
      <c r="L29" s="33"/>
      <c r="M29" s="33"/>
    </row>
    <row r="30" spans="1:13" s="32" customFormat="1" x14ac:dyDescent="0.25">
      <c r="A30" s="34" t="s">
        <v>99</v>
      </c>
      <c r="B30" s="31" t="s">
        <v>70</v>
      </c>
      <c r="C30" s="45" t="s">
        <v>170</v>
      </c>
      <c r="D30" s="46" t="s">
        <v>171</v>
      </c>
      <c r="K30" s="33"/>
      <c r="L30" s="33"/>
      <c r="M30" s="33"/>
    </row>
    <row r="31" spans="1:13" s="10" customFormat="1" x14ac:dyDescent="0.25">
      <c r="A31" s="8"/>
      <c r="B31" s="9"/>
      <c r="D31" s="11"/>
      <c r="K31" s="11"/>
      <c r="L31" s="11"/>
      <c r="M31" s="11"/>
    </row>
    <row r="32" spans="1:13" x14ac:dyDescent="0.25">
      <c r="B32" s="13" t="s">
        <v>73</v>
      </c>
      <c r="I32" s="9"/>
      <c r="J32" s="10"/>
    </row>
    <row r="33" spans="1:13" s="32" customFormat="1" ht="15.4" customHeight="1" x14ac:dyDescent="0.25">
      <c r="A33" s="34" t="s">
        <v>94</v>
      </c>
      <c r="B33" s="31" t="s">
        <v>150</v>
      </c>
      <c r="C33" s="32" t="s">
        <v>162</v>
      </c>
      <c r="D33" s="33" t="s">
        <v>172</v>
      </c>
      <c r="E33" s="32" t="s">
        <v>173</v>
      </c>
      <c r="F33" s="32" t="s">
        <v>174</v>
      </c>
      <c r="K33" s="33"/>
      <c r="L33" s="33"/>
      <c r="M33" s="33"/>
    </row>
    <row r="34" spans="1:13" s="32" customFormat="1" ht="15.4" customHeight="1" x14ac:dyDescent="0.25">
      <c r="A34" s="34" t="s">
        <v>179</v>
      </c>
      <c r="B34" s="31" t="s">
        <v>163</v>
      </c>
      <c r="D34" s="33"/>
      <c r="K34" s="33"/>
      <c r="L34" s="33"/>
      <c r="M34" s="33"/>
    </row>
    <row r="35" spans="1:13" s="6" customFormat="1" x14ac:dyDescent="0.25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25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25">
      <c r="A37" s="8"/>
      <c r="B37" s="9"/>
      <c r="M37" s="11"/>
    </row>
    <row r="38" spans="1:13" x14ac:dyDescent="0.25">
      <c r="A38" s="8" t="s">
        <v>93</v>
      </c>
      <c r="B38" s="9" t="s">
        <v>84</v>
      </c>
      <c r="C38" s="5">
        <v>2</v>
      </c>
      <c r="D38" s="11">
        <f>IF(OR(ISBLANK(C20), COUNTBLANK(C23:C25) &gt; 0), "N/A", CEILING(3/2*C20*C35/(C23+C25/C24), 1))</f>
        <v>2</v>
      </c>
    </row>
    <row r="39" spans="1:13" x14ac:dyDescent="0.25">
      <c r="A39" s="8" t="s">
        <v>153</v>
      </c>
      <c r="B39" s="9" t="s">
        <v>154</v>
      </c>
      <c r="C39" s="30" t="s">
        <v>146</v>
      </c>
    </row>
    <row r="40" spans="1:13" x14ac:dyDescent="0.25">
      <c r="A40" s="8" t="s">
        <v>156</v>
      </c>
      <c r="B40" s="9" t="s">
        <v>161</v>
      </c>
      <c r="C40" s="29">
        <v>10</v>
      </c>
    </row>
    <row r="41" spans="1:13" s="33" customFormat="1" x14ac:dyDescent="0.25">
      <c r="A41" s="34" t="s">
        <v>105</v>
      </c>
      <c r="B41" s="31" t="s">
        <v>104</v>
      </c>
      <c r="C41" s="33" t="s">
        <v>175</v>
      </c>
      <c r="D41" s="33" t="s">
        <v>176</v>
      </c>
    </row>
    <row r="42" spans="1:13" s="33" customFormat="1" x14ac:dyDescent="0.25">
      <c r="A42" s="34" t="s">
        <v>140</v>
      </c>
      <c r="B42" s="31" t="s">
        <v>155</v>
      </c>
      <c r="D42" s="33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1057275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2019-10-02T22:23:58Z</dcterms:modified>
</cp:coreProperties>
</file>