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3032AFB-A074-4116-A121-B53AE2C1340A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<sst xmlns="http://schemas.openxmlformats.org/spreadsheetml/2006/main" count="182" uniqueCount="180">
  <si>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</si>
  <si>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</si>
  <si>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</si>
  <si>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</si>
  <si>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</si>
  <si>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</si>
  <si>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</si>
  <si>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</si>
  <si>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</si>
  <si>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</si>
  <si>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</si>
  <si>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</si>
  <si>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</si>
  <si>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</si>
  <si>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</si>
  <si>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</si>
  <si>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</si>
  <si>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</si>
  <si>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</si>
  <si>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</si>
  <si>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</si>
  <si>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</si>
  <si>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</si>
  <si>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</si>
  <si>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</si>
  <si>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</si>
  <si>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</si>
  <si>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</si>
  <si>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</si>
  <si>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</si>
  <si>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</si>
  <si>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</si>
  <si>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</si>
  <si>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</si>
  <si>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</si>
  <si>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</si>
  <si>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</si>
  <si>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</si>
  <si>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</si>
  <si>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</si>
  <si>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</si>
  <si>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</si>
  <si>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</si>
  <si>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</si>
  <si>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</si>
  <si>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</si>
  <si>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</si>
  <si>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</si>
  <si>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</si>
  <si>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</si>
  <si>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</si>
  <si>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</si>
  <si>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</si>
  <si>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</si>
  <si>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</si>
  <si>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</si>
  <si>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</si>
  <si>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</si>
  <si>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</si>
  <si>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</si>
  <si>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</si>
  <si>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</si>
  <si>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</si>
  <si>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</si>
  <si>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</si>
  <si>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</si>
  <si>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</si>
  <si>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</si>
  <si>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</si>
  <si>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</si>
  <si>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</si>
  <si>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</si>
  <si>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</si>
  <si>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</si>
  <si>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</si>
  <si>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</si>
  <si>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</si>
  <si>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</si>
  <si>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</si>
  <si>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</si>
  <si>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</si>
  <si>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</si>
  <si>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</si>
  <si>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</si>
  <si>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</si>
  <si>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</si>
  <si>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</si>
  <si>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</si>
  <si>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</si>
  <si>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</si>
  <si>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</si>
  <si>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</si>
  <si>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</si>
  <si>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</si>
  <si>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</si>
  <si>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</si>
  <si>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</si>
  <si>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</si>
  <si>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</si>
  <si>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</si>
  <si>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</si>
  <si>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</si>
  <si>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</si>
  <si>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</si>
  <si>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</si>
  <si>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</si>
  <si>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</si>
  <si>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</si>
  <si>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</si>
  <si>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</si>
  <si>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</si>
  <si>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</si>
  <si>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</si>
  <si>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</si>
  <si>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</si>
  <si>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</si>
  <si>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</si>
  <si>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</si>
  <si>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</si>
  <si>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</si>
  <si>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</si>
  <si>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</si>
  <si>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</si>
  <si>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</si>
  <si>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</si>
  <si>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</si>
  <si>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</si>
  <si>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</si>
  <si>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</si>
  <si>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</si>
  <si>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</si>
  <si>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</si>
  <si>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</si>
  <si>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</si>
  <si>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</si>
  <si>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</si>
  <si>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</si>
  <si>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</si>
  <si>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</si>
  <si>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</si>
  <si>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</si>
  <si>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</si>
  <si>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</si>
  <si>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</si>
  <si>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</si>
  <si>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</si>
  <si>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</si>
  <si>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</si>
  <si>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</si>
  <si>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</si>
  <si>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</si>
  <si>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</si>
  <si>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</si>
  <si>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</si>
  <si>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</si>
  <si>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</si>
  <si>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</si>
  <si>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</si>
  <si>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</si>
  <si>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</si>
  <si>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</si>
  <si>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</si>
  <si>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</si>
  <si>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</si>
  <si>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</si>
  <si>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</si>
  <si>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</si>
  <si>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</si>
  <si>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RD1</t>
  </si>
  <si>
    <t>RD2</t>
  </si>
  <si>
    <t>CV 1</t>
  </si>
  <si>
    <t>CV 2</t>
  </si>
  <si>
    <t>Rd 1</t>
  </si>
  <si>
    <t>Rd 2</t>
  </si>
  <si>
    <t>Rd 3</t>
  </si>
  <si>
    <t>Hubert</t>
  </si>
  <si>
    <t>Louis</t>
  </si>
  <si>
    <t>Dewford</t>
  </si>
  <si>
    <t>nodivisions small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</si>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</sst>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tabSelected="1" topLeftCell="A3" workbookViewId="0">
      <selection activeCell="B30" sqref="B3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opLeftCell="B2" workbookViewId="0">
      <selection activeCell="C13" sqref="C13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178</v>
      </c>
      <c r="D2" s="51"/>
      <c r="E2" s="51"/>
      <c r="F2" s="51"/>
      <c r="G2" s="51"/>
      <c r="H2" s="51"/>
      <c r="I2" s="51"/>
      <c r="J2" s="52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21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0.61666666666666647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164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148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165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151</v>
      </c>
      <c r="B14" s="9" t="s">
        <v>157</v>
      </c>
      <c r="C14" s="38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152</v>
      </c>
      <c r="B15" s="9" t="s">
        <v>158</v>
      </c>
      <c r="C15" s="38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149</v>
      </c>
      <c r="B16" s="9" t="s">
        <v>159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145</v>
      </c>
      <c r="B17" s="13"/>
      <c r="H17" s="35"/>
      <c r="J17" s="35"/>
    </row>
    <row r="18" spans="1:13" x14ac:dyDescent="0.4">
      <c r="A18" s="8" t="s">
        <v>146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2</v>
      </c>
      <c r="D20" s="21">
        <f>CEILING(C3/12, 1)</f>
        <v>2</v>
      </c>
      <c r="E20" s="18"/>
    </row>
    <row r="21" spans="1:13" x14ac:dyDescent="0.4">
      <c r="A21" s="8" t="s">
        <v>89</v>
      </c>
      <c r="B21" s="9" t="s">
        <v>75</v>
      </c>
      <c r="C21" s="43" t="s">
        <v>146</v>
      </c>
      <c r="D21" s="21" t="str">
        <f>IF(COUNTIF('Team Information'!$1:$1, "Division") &gt; 0, "Disabled with divisions", IF(OR(MOD(C3, 2), C20 &gt; 2), "Yes", "No"))</f>
        <v>Yes</v>
      </c>
      <c r="E21" s="18"/>
    </row>
    <row r="22" spans="1:13" x14ac:dyDescent="0.4">
      <c r="A22" s="8" t="s">
        <v>147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160</v>
      </c>
      <c r="C24" s="44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10</v>
      </c>
      <c r="D25" s="11">
        <f>IF(OR(C24 = 0, ISBLANK(C24), ISBLANK(C23)), "", MAX(C24*(20 - C23), 0))</f>
        <v>10</v>
      </c>
    </row>
    <row r="26" spans="1:13" x14ac:dyDescent="0.4">
      <c r="A26" s="37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166</v>
      </c>
      <c r="D28" s="46" t="s">
        <v>167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168</v>
      </c>
      <c r="D29" s="46" t="s">
        <v>169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170</v>
      </c>
      <c r="D30" s="46" t="s">
        <v>171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150</v>
      </c>
      <c r="C33" s="32" t="s">
        <v>162</v>
      </c>
      <c r="D33" s="33" t="s">
        <v>172</v>
      </c>
      <c r="E33" s="32" t="s">
        <v>173</v>
      </c>
      <c r="F33" s="32" t="s">
        <v>174</v>
      </c>
      <c r="K33" s="33"/>
      <c r="L33" s="33"/>
      <c r="M33" s="33"/>
    </row>
    <row r="34" spans="1:13" s="32" customFormat="1" ht="15.45" customHeight="1" x14ac:dyDescent="0.4">
      <c r="A34" s="34" t="s">
        <v>179</v>
      </c>
      <c r="B34" s="31" t="s">
        <v>163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2</v>
      </c>
      <c r="D38" s="11">
        <f>IF(OR(ISBLANK(C20), COUNTBLANK(C23:C25) &gt; 0), "N/A", CEILING(3/2*C20*C35/(C23+C25/C24), 1))</f>
        <v>2</v>
      </c>
    </row>
    <row r="39" spans="1:13" x14ac:dyDescent="0.4">
      <c r="A39" s="8" t="s">
        <v>153</v>
      </c>
      <c r="B39" s="9" t="s">
        <v>154</v>
      </c>
      <c r="C39" s="30" t="s">
        <v>145</v>
      </c>
    </row>
    <row r="40" spans="1:13" x14ac:dyDescent="0.4">
      <c r="A40" s="8" t="s">
        <v>156</v>
      </c>
      <c r="B40" s="9" t="s">
        <v>161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175</v>
      </c>
      <c r="D41" s="33" t="s">
        <v>176</v>
      </c>
    </row>
    <row r="42" spans="1:13" s="33" customFormat="1" x14ac:dyDescent="0.4">
      <c r="A42" s="34" t="s">
        <v>140</v>
      </c>
      <c r="B42" s="31" t="s">
        <v>155</v>
      </c>
      <c r="D42" s="33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2019-05-19T19:58:06Z</dcterms:modified>
</cp:coreProperties>
</file>