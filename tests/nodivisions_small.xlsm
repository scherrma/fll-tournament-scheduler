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75E17584-14FE-444D-AF9A-DED85308F55A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5" i="26" l="1"/>
  <c r="D37" i="26" l="1"/>
  <c r="D25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D21" i="26" l="1"/>
  <c r="C22" i="26"/>
  <c r="A26" i="26" s="1"/>
  <c r="C26" i="26" s="1"/>
  <c r="J3" i="26" s="1"/>
  <c r="D20" i="26"/>
</calcChain>
</file>

<file path=xl/sharedStrings.xml><?xml version="1.0" encoding="utf-8"?>
<sst xmlns="http://schemas.openxmlformats.org/spreadsheetml/2006/main" count="180" uniqueCount="178">
  <si>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</si>
  <si>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</si>
  <si>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</si>
  <si>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</si>
  <si>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</si>
  <si>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</si>
  <si>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</si>
  <si>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</si>
  <si>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</si>
  <si>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</si>
  <si>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</si>
  <si>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</si>
  <si>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</si>
  <si>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</si>
  <si>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</si>
  <si>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</si>
  <si>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</si>
  <si>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</si>
  <si>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</si>
  <si>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</si>
  <si>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</si>
  <si>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</si>
  <si>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</si>
  <si>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</si>
  <si>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</si>
  <si>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</si>
  <si>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</si>
  <si>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</si>
  <si>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</si>
  <si>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</si>
  <si>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</si>
  <si>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</si>
  <si>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</si>
  <si>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</si>
  <si>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</si>
  <si>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</si>
  <si>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</si>
  <si>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</si>
  <si>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</si>
  <si>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</si>
  <si>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</si>
  <si>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</si>
  <si>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</si>
  <si>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</si>
  <si>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</si>
  <si>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</si>
  <si>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</si>
  <si>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</si>
  <si>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</si>
  <si>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</si>
  <si>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</si>
  <si>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</si>
  <si>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</si>
  <si>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</si>
  <si>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</si>
  <si>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</si>
  <si>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</si>
  <si>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</si>
  <si>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</si>
  <si>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</si>
  <si>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</si>
  <si>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</si>
  <si>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</si>
  <si>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</si>
  <si>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</si>
  <si>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</si>
  <si>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</si>
  <si>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</si>
  <si>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</si>
  <si>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</si>
  <si>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</si>
  <si>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</si>
  <si>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</si>
  <si>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</si>
  <si>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</si>
  <si>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</si>
  <si>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</si>
  <si>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</si>
  <si>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</si>
  <si>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</si>
  <si>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</si>
  <si>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</si>
  <si>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</si>
  <si>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</si>
  <si>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</si>
  <si>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</si>
  <si>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</si>
  <si>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</si>
  <si>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</si>
  <si>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</si>
  <si>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</si>
  <si>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</si>
  <si>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</si>
  <si>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</si>
  <si>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</si>
  <si>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</si>
  <si>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</si>
  <si>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</si>
  <si>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</si>
  <si>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</si>
  <si>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</si>
  <si>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</si>
  <si>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</si>
  <si>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</si>
  <si>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</si>
  <si>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</si>
  <si>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</si>
  <si>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</si>
  <si>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</si>
  <si>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</si>
  <si>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</si>
  <si>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</si>
  <si>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</si>
  <si>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</si>
  <si>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</si>
  <si>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</si>
  <si>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</si>
  <si>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</si>
  <si>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</si>
  <si>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</si>
  <si>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</si>
  <si>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</si>
  <si>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</si>
  <si>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</si>
  <si>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</si>
  <si>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</si>
  <si>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</si>
  <si>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</si>
  <si>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</si>
  <si>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</si>
  <si>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</si>
  <si>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</si>
  <si>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</si>
  <si>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</si>
  <si>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</si>
  <si>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</si>
  <si>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</si>
  <si>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</si>
  <si>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</si>
  <si>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</si>
  <si>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</si>
  <si>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</si>
  <si>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</si>
  <si>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</si>
  <si>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</si>
  <si>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</si>
  <si>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</si>
  <si>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</si>
  <si>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</si>
  <si>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</si>
  <si>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</si>
  <si>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</si>
  <si>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</si>
  <si>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</si>
  <si>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</si>
  <si>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Gym</t>
  </si>
  <si>
    <t>Registration</t>
  </si>
  <si>
    <t>P1</t>
  </si>
  <si>
    <t>P2</t>
  </si>
  <si>
    <t>RD1</t>
  </si>
  <si>
    <t>RD2</t>
  </si>
  <si>
    <t>CV 1</t>
  </si>
  <si>
    <t>CV 2</t>
  </si>
  <si>
    <t>Practice</t>
  </si>
  <si>
    <t>Rd 1</t>
  </si>
  <si>
    <t>Rd 2</t>
  </si>
  <si>
    <t>Rd 3</t>
  </si>
  <si>
    <t>Do you want to stagger your table pairs?</t>
  </si>
  <si>
    <t>Hubert</t>
  </si>
  <si>
    <t>Louis</t>
  </si>
  <si>
    <t>Dewford</t>
  </si>
  <si>
    <t>Second table name (optional; will default to table A and table B if empty)</t>
  </si>
  <si>
    <t>Consecutive matches between breaks</t>
  </si>
  <si>
    <t>t_consec</t>
  </si>
  <si>
    <t>Lunch should start no earlier than</t>
  </si>
  <si>
    <t>Lunch should start no later than</t>
  </si>
  <si>
    <t>Lunch duration (min)</t>
  </si>
  <si>
    <t>nodivisions small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</si>
</sst>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4" fontId="0" fillId="3" borderId="0" xfId="0" applyNumberFormat="1" applyFill="1" applyAlignment="1" applyProtection="1">
      <alignment horizontal="left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M44"/>
  <sheetViews>
    <sheetView workbookViewId="0">
      <selection activeCell="B20" sqref="B20"/>
    </sheetView>
  </sheetViews>
  <sheetFormatPr defaultRowHeight="14.6" x14ac:dyDescent="0.4"/>
  <cols>
    <col min="1" max="1" width="16.921875" style="2" customWidth="1"/>
    <col min="2" max="2" width="33" style="2" customWidth="1"/>
    <col min="3" max="3" width="20.765625" style="2" customWidth="1"/>
    <col min="4" max="4" width="31.61328125" style="2" customWidth="1"/>
    <col min="5" max="5" width="18.23046875" style="2" customWidth="1"/>
    <col min="6" max="6" width="9.23046875" style="2"/>
    <col min="7" max="7" width="19.53515625" style="2" bestFit="1" customWidth="1"/>
    <col min="8" max="8" width="10.84375" style="2" customWidth="1"/>
    <col min="9" max="9" width="11" style="2" customWidth="1"/>
    <col min="10" max="10" width="9.23046875" style="2" customWidth="1"/>
    <col min="11" max="11" width="21.921875" style="2" customWidth="1"/>
    <col min="12" max="12" width="26.3828125" style="2" customWidth="1"/>
    <col min="13" max="13" width="28.69140625" style="2" customWidth="1"/>
    <col min="14" max="16384" width="9.23046875" style="2"/>
  </cols>
  <sheetData>
    <row r="1" spans="1:13" x14ac:dyDescent="0.4">
      <c r="A1" s="3" t="s">
        <v>0</v>
      </c>
      <c r="B1" s="3" t="s">
        <v>1</v>
      </c>
      <c r="C1" s="3" t="s">
        <v>2</v>
      </c>
      <c r="D1" s="3" t="s">
        <v>107</v>
      </c>
      <c r="E1" s="3" t="s">
        <v>3</v>
      </c>
      <c r="M1" s="3"/>
    </row>
    <row r="2" spans="1:13" x14ac:dyDescent="0.4">
      <c r="A2" s="2">
        <v>16935</v>
      </c>
      <c r="B2" s="1" t="s">
        <v>6</v>
      </c>
      <c r="C2" s="1" t="s">
        <v>23</v>
      </c>
      <c r="D2" s="4" t="s">
        <v>108</v>
      </c>
      <c r="E2" s="1" t="s">
        <v>42</v>
      </c>
    </row>
    <row r="3" spans="1:13" x14ac:dyDescent="0.4">
      <c r="A3" s="2">
        <v>2463</v>
      </c>
      <c r="B3" s="1" t="s">
        <v>7</v>
      </c>
      <c r="C3" s="1" t="s">
        <v>24</v>
      </c>
      <c r="D3" s="4" t="s">
        <v>109</v>
      </c>
      <c r="E3" s="1" t="s">
        <v>43</v>
      </c>
    </row>
    <row r="4" spans="1:13" x14ac:dyDescent="0.4">
      <c r="A4" s="2">
        <v>33754</v>
      </c>
      <c r="B4" s="1" t="s">
        <v>9</v>
      </c>
      <c r="C4" s="1" t="s">
        <v>25</v>
      </c>
      <c r="D4" s="4" t="s">
        <v>110</v>
      </c>
      <c r="E4" s="1" t="s">
        <v>44</v>
      </c>
    </row>
    <row r="5" spans="1:13" x14ac:dyDescent="0.4">
      <c r="A5" s="2">
        <v>20996</v>
      </c>
      <c r="B5" s="1" t="s">
        <v>8</v>
      </c>
      <c r="C5" s="1" t="s">
        <v>26</v>
      </c>
      <c r="D5" s="4" t="s">
        <v>111</v>
      </c>
      <c r="E5" s="1" t="s">
        <v>45</v>
      </c>
    </row>
    <row r="6" spans="1:13" x14ac:dyDescent="0.4">
      <c r="A6" s="2">
        <v>10666</v>
      </c>
      <c r="B6" s="1" t="s">
        <v>10</v>
      </c>
      <c r="C6" s="1" t="s">
        <v>27</v>
      </c>
      <c r="D6" s="4" t="s">
        <v>112</v>
      </c>
      <c r="E6" s="1" t="s">
        <v>46</v>
      </c>
    </row>
    <row r="7" spans="1:13" x14ac:dyDescent="0.4">
      <c r="A7" s="2">
        <v>28868</v>
      </c>
      <c r="B7" s="1" t="s">
        <v>21</v>
      </c>
      <c r="C7" s="1" t="s">
        <v>28</v>
      </c>
      <c r="D7" s="4" t="s">
        <v>113</v>
      </c>
      <c r="E7" s="1" t="s">
        <v>47</v>
      </c>
    </row>
    <row r="8" spans="1:13" x14ac:dyDescent="0.4">
      <c r="A8" s="2">
        <v>24652</v>
      </c>
      <c r="B8" s="1" t="s">
        <v>11</v>
      </c>
      <c r="C8" s="1" t="s">
        <v>29</v>
      </c>
      <c r="D8" s="4" t="s">
        <v>114</v>
      </c>
      <c r="E8" s="1" t="s">
        <v>48</v>
      </c>
    </row>
    <row r="9" spans="1:13" x14ac:dyDescent="0.4">
      <c r="A9" s="2">
        <v>31946</v>
      </c>
      <c r="B9" s="1" t="s">
        <v>12</v>
      </c>
      <c r="C9" s="1" t="s">
        <v>30</v>
      </c>
      <c r="D9" s="4" t="s">
        <v>115</v>
      </c>
      <c r="E9" s="1" t="s">
        <v>49</v>
      </c>
    </row>
    <row r="10" spans="1:13" x14ac:dyDescent="0.4">
      <c r="A10" s="2">
        <v>1542</v>
      </c>
      <c r="B10" s="1" t="s">
        <v>13</v>
      </c>
      <c r="C10" s="1" t="s">
        <v>31</v>
      </c>
      <c r="D10" s="4" t="s">
        <v>116</v>
      </c>
      <c r="E10" s="1" t="s">
        <v>50</v>
      </c>
    </row>
    <row r="11" spans="1:13" x14ac:dyDescent="0.4">
      <c r="A11" s="2">
        <v>49523</v>
      </c>
      <c r="B11" s="1" t="s">
        <v>14</v>
      </c>
      <c r="C11" s="1" t="s">
        <v>32</v>
      </c>
      <c r="D11" s="4" t="s">
        <v>117</v>
      </c>
      <c r="E11" s="1" t="s">
        <v>51</v>
      </c>
    </row>
    <row r="12" spans="1:13" x14ac:dyDescent="0.4">
      <c r="A12" s="2">
        <v>19885</v>
      </c>
      <c r="B12" s="1" t="s">
        <v>15</v>
      </c>
      <c r="C12" s="1" t="s">
        <v>33</v>
      </c>
      <c r="D12" s="4" t="s">
        <v>118</v>
      </c>
      <c r="E12" s="1" t="s">
        <v>52</v>
      </c>
    </row>
    <row r="13" spans="1:13" x14ac:dyDescent="0.4">
      <c r="A13" s="2">
        <v>41793</v>
      </c>
      <c r="B13" s="1" t="s">
        <v>16</v>
      </c>
      <c r="C13" s="1" t="s">
        <v>34</v>
      </c>
      <c r="D13" s="4" t="s">
        <v>119</v>
      </c>
      <c r="E13" s="1" t="s">
        <v>53</v>
      </c>
    </row>
    <row r="14" spans="1:13" x14ac:dyDescent="0.4">
      <c r="A14" s="2">
        <v>42066</v>
      </c>
      <c r="B14" s="1" t="s">
        <v>4</v>
      </c>
      <c r="C14" s="1" t="s">
        <v>35</v>
      </c>
      <c r="D14" s="4" t="s">
        <v>120</v>
      </c>
      <c r="E14" s="1" t="s">
        <v>54</v>
      </c>
    </row>
    <row r="15" spans="1:13" x14ac:dyDescent="0.4">
      <c r="A15" s="2">
        <v>2932</v>
      </c>
      <c r="B15" s="1" t="s">
        <v>17</v>
      </c>
      <c r="C15" s="1" t="s">
        <v>36</v>
      </c>
      <c r="D15" s="4" t="s">
        <v>121</v>
      </c>
      <c r="E15" s="1" t="s">
        <v>55</v>
      </c>
    </row>
    <row r="16" spans="1:13" x14ac:dyDescent="0.4">
      <c r="A16" s="2">
        <v>505</v>
      </c>
      <c r="B16" s="1" t="s">
        <v>22</v>
      </c>
      <c r="C16" s="1" t="s">
        <v>37</v>
      </c>
      <c r="D16" s="4" t="s">
        <v>122</v>
      </c>
      <c r="E16" s="1" t="s">
        <v>56</v>
      </c>
    </row>
    <row r="17" spans="1:10" x14ac:dyDescent="0.4">
      <c r="A17" s="2">
        <v>3036</v>
      </c>
      <c r="B17" s="1" t="s">
        <v>20</v>
      </c>
      <c r="C17" s="1" t="s">
        <v>38</v>
      </c>
      <c r="D17" s="4" t="s">
        <v>123</v>
      </c>
      <c r="E17" s="1" t="s">
        <v>57</v>
      </c>
    </row>
    <row r="18" spans="1:10" x14ac:dyDescent="0.4">
      <c r="A18" s="2">
        <v>46007</v>
      </c>
      <c r="B18" s="1" t="s">
        <v>5</v>
      </c>
      <c r="C18" s="1" t="s">
        <v>39</v>
      </c>
      <c r="D18" s="4" t="s">
        <v>124</v>
      </c>
      <c r="E18" s="1" t="s">
        <v>58</v>
      </c>
    </row>
    <row r="19" spans="1:10" x14ac:dyDescent="0.4">
      <c r="A19" s="2">
        <v>23932</v>
      </c>
      <c r="B19" s="1" t="s">
        <v>19</v>
      </c>
      <c r="C19" s="1" t="s">
        <v>40</v>
      </c>
      <c r="D19" s="4" t="s">
        <v>125</v>
      </c>
      <c r="E19" s="1" t="s">
        <v>59</v>
      </c>
    </row>
    <row r="20" spans="1:10" customFormat="1" x14ac:dyDescent="0.4">
      <c r="A20" s="2">
        <v>38561</v>
      </c>
      <c r="B20" s="2" t="s">
        <v>61</v>
      </c>
      <c r="C20" s="2" t="s">
        <v>62</v>
      </c>
      <c r="D20" s="4" t="s">
        <v>126</v>
      </c>
      <c r="E20" s="2" t="s">
        <v>63</v>
      </c>
      <c r="G20" s="2"/>
      <c r="H20" s="2"/>
      <c r="I20" s="2"/>
      <c r="J20" s="2"/>
    </row>
    <row r="21" spans="1:10" x14ac:dyDescent="0.4">
      <c r="A21" s="2">
        <v>31303</v>
      </c>
      <c r="B21" s="1" t="s">
        <v>18</v>
      </c>
      <c r="C21" s="1" t="s">
        <v>41</v>
      </c>
      <c r="D21" s="4" t="s">
        <v>127</v>
      </c>
      <c r="E21" s="1" t="s">
        <v>60</v>
      </c>
      <c r="F21"/>
      <c r="G21"/>
    </row>
    <row r="22" spans="1:10" x14ac:dyDescent="0.4">
      <c r="A22" s="2">
        <v>15289</v>
      </c>
      <c r="B22" s="2" t="s">
        <v>142</v>
      </c>
      <c r="C22" s="2" t="s">
        <v>143</v>
      </c>
      <c r="D22" s="4" t="s">
        <v>144</v>
      </c>
      <c r="E22" s="2" t="s">
        <v>145</v>
      </c>
      <c r="F22"/>
      <c r="G22"/>
    </row>
    <row r="23" spans="1:10" x14ac:dyDescent="0.4">
      <c r="D23" s="4"/>
      <c r="F23"/>
      <c r="G23"/>
    </row>
    <row r="24" spans="1:10" x14ac:dyDescent="0.4">
      <c r="D24" s="4"/>
      <c r="F24"/>
      <c r="G24"/>
    </row>
    <row r="25" spans="1:10" x14ac:dyDescent="0.4">
      <c r="D25" s="4"/>
      <c r="F25"/>
      <c r="G25"/>
    </row>
    <row r="26" spans="1:10" x14ac:dyDescent="0.4">
      <c r="D26" s="4"/>
      <c r="F26"/>
      <c r="G26"/>
    </row>
    <row r="27" spans="1:10" x14ac:dyDescent="0.4">
      <c r="D27" s="4"/>
      <c r="F27"/>
      <c r="G27"/>
    </row>
    <row r="28" spans="1:10" x14ac:dyDescent="0.4">
      <c r="D28" s="4"/>
      <c r="F28"/>
      <c r="G28"/>
    </row>
    <row r="29" spans="1:10" x14ac:dyDescent="0.4">
      <c r="D29" s="4"/>
      <c r="F29"/>
      <c r="G29"/>
    </row>
    <row r="30" spans="1:10" x14ac:dyDescent="0.4">
      <c r="D30" s="4"/>
      <c r="F30"/>
      <c r="G30"/>
    </row>
    <row r="31" spans="1:10" x14ac:dyDescent="0.4">
      <c r="D31" s="4"/>
      <c r="F31"/>
      <c r="G31"/>
    </row>
    <row r="32" spans="1:10" x14ac:dyDescent="0.4">
      <c r="D32" s="4"/>
      <c r="F32"/>
      <c r="G32"/>
    </row>
    <row r="33" spans="4:7" x14ac:dyDescent="0.4">
      <c r="D33" s="4"/>
      <c r="F33"/>
      <c r="G33"/>
    </row>
    <row r="34" spans="4:7" x14ac:dyDescent="0.4">
      <c r="D34" s="4"/>
      <c r="F34"/>
      <c r="G34"/>
    </row>
    <row r="35" spans="4:7" x14ac:dyDescent="0.4">
      <c r="D35" s="4"/>
      <c r="F35"/>
      <c r="G35"/>
    </row>
    <row r="36" spans="4:7" x14ac:dyDescent="0.4">
      <c r="D36" s="4"/>
      <c r="F36"/>
      <c r="G36"/>
    </row>
    <row r="37" spans="4:7" x14ac:dyDescent="0.4">
      <c r="D37" s="4"/>
      <c r="F37"/>
      <c r="G37"/>
    </row>
    <row r="38" spans="4:7" x14ac:dyDescent="0.4">
      <c r="D38" s="4"/>
      <c r="F38"/>
      <c r="G38"/>
    </row>
    <row r="39" spans="4:7" x14ac:dyDescent="0.4">
      <c r="D39" s="4"/>
      <c r="F39"/>
      <c r="G39"/>
    </row>
    <row r="40" spans="4:7" x14ac:dyDescent="0.4">
      <c r="D40" s="4"/>
      <c r="F40"/>
      <c r="G40"/>
    </row>
    <row r="41" spans="4:7" x14ac:dyDescent="0.4">
      <c r="D41" s="4"/>
      <c r="F41"/>
      <c r="G41"/>
    </row>
    <row r="42" spans="4:7" x14ac:dyDescent="0.4">
      <c r="D42" s="4"/>
    </row>
    <row r="43" spans="4:7" x14ac:dyDescent="0.4">
      <c r="D43" s="4"/>
    </row>
    <row r="44" spans="4:7" x14ac:dyDescent="0.4">
      <c r="D44" s="4"/>
    </row>
  </sheetData>
  <hyperlinks>
    <hyperlink ref="D2" r:id="rId1" xr:uid="{7BDAF074-B816-4B71-BB52-626830437EB0}"/>
    <hyperlink ref="D3" r:id="rId2" xr:uid="{6DBA12EA-FD8C-4AFE-BFDB-893F935B2870}"/>
    <hyperlink ref="D4" r:id="rId3" xr:uid="{A410A3CD-E4C7-4F79-B091-F115BCA0AEAC}"/>
    <hyperlink ref="D5" r:id="rId4" xr:uid="{F451688E-3F58-4983-B043-CF2DE590598B}"/>
    <hyperlink ref="D6" r:id="rId5" xr:uid="{C276830A-4023-421F-9FC2-40DB3A64DAA9}"/>
    <hyperlink ref="D7" r:id="rId6" xr:uid="{D0307CA0-BC0A-43D3-83CB-0A3F00FA17A7}"/>
    <hyperlink ref="D8" r:id="rId7" xr:uid="{A1A127A5-FAD7-4632-9408-58526E88C03F}"/>
    <hyperlink ref="D9" r:id="rId8" xr:uid="{1DA7D085-20C6-4393-9EAA-182F4B68071B}"/>
    <hyperlink ref="D10" r:id="rId9" xr:uid="{36B8063F-66BF-4F22-91DC-82B6F3351788}"/>
    <hyperlink ref="D11" r:id="rId10" xr:uid="{DCFF365E-739A-4A26-9DF5-9F1C3D5E1009}"/>
    <hyperlink ref="D12" r:id="rId11" xr:uid="{113A3622-98F1-4ADD-97E1-18107C18CD61}"/>
    <hyperlink ref="D13" r:id="rId12" xr:uid="{C99D50C7-D98D-4CB6-B7D4-C7C4D8115E02}"/>
    <hyperlink ref="D14" r:id="rId13" xr:uid="{1A7774CF-9DCE-448F-BDBD-98CA7B293F73}"/>
    <hyperlink ref="D15" r:id="rId14" xr:uid="{1F0AAF60-EA48-4E0B-9111-13421A024899}"/>
    <hyperlink ref="D16" r:id="rId15" xr:uid="{0122DACF-E0BA-4CEC-B5B7-0108B9AC399C}"/>
    <hyperlink ref="D17" r:id="rId16" xr:uid="{B2370D20-63DB-48D3-B610-DCD08C33DAE6}"/>
    <hyperlink ref="D18" r:id="rId17" xr:uid="{25574901-65BB-4D51-9D1F-37EBC110A55C}"/>
    <hyperlink ref="D19" r:id="rId18" xr:uid="{45F092B9-7EDC-4661-8D38-2FBE25D73A39}"/>
    <hyperlink ref="D20" r:id="rId19" xr:uid="{06C21CAB-3BE5-4628-BF61-7EC1FA3BCF1C}"/>
    <hyperlink ref="D21" r:id="rId20" xr:uid="{E5639F65-3EB8-4A3C-ADFD-6B230B6F3B78}"/>
    <hyperlink ref="D22" r:id="rId21" xr:uid="{297A346E-C842-4859-ABD4-E6EC0F9415A3}"/>
  </hyperlinks>
  <pageMargins left="0.7" right="0.7" top="0.75" bottom="0.75" header="0.3" footer="0.3"/>
  <pageSetup orientation="portrait" r:id="rId2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C37" sqref="C37"/>
    </sheetView>
  </sheetViews>
  <sheetFormatPr defaultRowHeight="14.6" x14ac:dyDescent="0.4"/>
  <cols>
    <col min="1" max="1" width="22.07421875" style="9" hidden="1" customWidth="1"/>
    <col min="2" max="2" width="63.07421875" style="10" bestFit="1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 x14ac:dyDescent="0.4">
      <c r="A1" s="9" t="s">
        <v>103</v>
      </c>
      <c r="B1" s="10" t="s">
        <v>102</v>
      </c>
      <c r="C1" s="11" t="s">
        <v>104</v>
      </c>
    </row>
    <row r="2" spans="1:13" s="26" customFormat="1" ht="18.45" x14ac:dyDescent="0.5">
      <c r="A2" s="27" t="s">
        <v>97</v>
      </c>
      <c r="B2" s="28" t="s">
        <v>66</v>
      </c>
      <c r="C2" s="42" t="s">
        <v>177</v>
      </c>
      <c r="D2" s="42"/>
      <c r="E2" s="42"/>
      <c r="F2" s="42"/>
      <c r="G2" s="42"/>
      <c r="H2" s="42"/>
      <c r="I2" s="42"/>
      <c r="J2" s="42"/>
      <c r="K2" s="25"/>
      <c r="L2" s="25"/>
      <c r="M2" s="25"/>
    </row>
    <row r="3" spans="1:13" ht="15.9" x14ac:dyDescent="0.4">
      <c r="B3" s="10" t="s">
        <v>74</v>
      </c>
      <c r="C3" s="11">
        <f>COUNTA('Team Information'!A:A) - COUNTA('Team Information'!A1)</f>
        <v>21</v>
      </c>
      <c r="E3" s="39" t="s">
        <v>71</v>
      </c>
      <c r="F3" s="39"/>
      <c r="G3" s="39"/>
      <c r="H3" s="39"/>
      <c r="I3" s="39"/>
      <c r="J3" s="24">
        <f>IF(OR(ISBLANK(C37), C26="N/A"), "N/A", C26 + TIME(0, C16 - C23, 0) + TIME(0, E34, 0) + CEILING(C3/(2*C37), 1)*TIME(0, SUM(F34:K34), 0))</f>
        <v>0.61111111111111094</v>
      </c>
    </row>
    <row r="6" spans="1:13" x14ac:dyDescent="0.4">
      <c r="A6" s="9" t="s">
        <v>87</v>
      </c>
      <c r="B6" s="10" t="s">
        <v>67</v>
      </c>
      <c r="C6" s="5" t="s">
        <v>68</v>
      </c>
      <c r="D6" s="40" t="s">
        <v>86</v>
      </c>
      <c r="E6" s="41"/>
      <c r="F6" s="41"/>
      <c r="G6" s="41"/>
      <c r="H6" s="41"/>
      <c r="I6" s="41"/>
      <c r="J6" s="41"/>
      <c r="K6" s="41"/>
      <c r="L6" s="41"/>
      <c r="M6" s="13"/>
    </row>
    <row r="7" spans="1:13" x14ac:dyDescent="0.4">
      <c r="A7" s="9" t="s">
        <v>88</v>
      </c>
      <c r="B7" s="10" t="s">
        <v>78</v>
      </c>
      <c r="C7" s="30">
        <v>12.5</v>
      </c>
      <c r="D7" s="40"/>
      <c r="E7" s="41"/>
      <c r="F7" s="41"/>
      <c r="G7" s="41"/>
      <c r="H7" s="41"/>
      <c r="I7" s="41"/>
      <c r="J7" s="41"/>
      <c r="K7" s="41"/>
      <c r="L7" s="41"/>
      <c r="M7" s="13"/>
    </row>
    <row r="8" spans="1:13" x14ac:dyDescent="0.4">
      <c r="A8" s="9" t="s">
        <v>128</v>
      </c>
      <c r="B8" s="10" t="s">
        <v>135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 x14ac:dyDescent="0.4">
      <c r="A9" s="9" t="s">
        <v>129</v>
      </c>
      <c r="B9" s="10" t="s">
        <v>134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 x14ac:dyDescent="0.4">
      <c r="A10" s="9" t="s">
        <v>133</v>
      </c>
      <c r="B10" s="10" t="s">
        <v>136</v>
      </c>
      <c r="C10" s="31" t="s">
        <v>155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 x14ac:dyDescent="0.4">
      <c r="A11" s="9" t="s">
        <v>130</v>
      </c>
      <c r="B11" s="10" t="s">
        <v>132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 x14ac:dyDescent="0.4">
      <c r="A12" s="9" t="s">
        <v>131</v>
      </c>
      <c r="B12" s="10" t="s">
        <v>149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 x14ac:dyDescent="0.4">
      <c r="A13" s="9" t="s">
        <v>137</v>
      </c>
      <c r="B13" s="10" t="s">
        <v>138</v>
      </c>
      <c r="C13" s="31" t="s">
        <v>156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 x14ac:dyDescent="0.4">
      <c r="A14" s="9" t="s">
        <v>152</v>
      </c>
      <c r="B14" s="10" t="s">
        <v>174</v>
      </c>
      <c r="C14" s="6">
        <v>0.45833333333333331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 x14ac:dyDescent="0.4">
      <c r="A15" s="9" t="s">
        <v>153</v>
      </c>
      <c r="B15" s="10" t="s">
        <v>175</v>
      </c>
      <c r="C15" s="6">
        <v>0.54166666666666663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 x14ac:dyDescent="0.4">
      <c r="A16" s="9" t="s">
        <v>150</v>
      </c>
      <c r="B16" s="10" t="s">
        <v>176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 x14ac:dyDescent="0.4">
      <c r="A17" s="9" t="s">
        <v>146</v>
      </c>
      <c r="B17" s="14"/>
      <c r="H17" s="36"/>
      <c r="J17" s="36"/>
    </row>
    <row r="18" spans="1:13" x14ac:dyDescent="0.4">
      <c r="A18" s="9" t="s">
        <v>147</v>
      </c>
      <c r="B18" s="14" t="s">
        <v>72</v>
      </c>
      <c r="D18" s="16" t="s">
        <v>69</v>
      </c>
    </row>
    <row r="19" spans="1:13" x14ac:dyDescent="0.4">
      <c r="A19" s="9" t="s">
        <v>101</v>
      </c>
      <c r="B19" s="10" t="s">
        <v>81</v>
      </c>
      <c r="C19" s="6">
        <v>0.40625</v>
      </c>
      <c r="D19" s="20">
        <f>MAX(C8+TIME(0, C9, 0), C11 + TIME(0, C12, 0)) + TIME(0, C7, 0)</f>
        <v>0.40416666666666667</v>
      </c>
      <c r="E19" s="21"/>
    </row>
    <row r="20" spans="1:13" x14ac:dyDescent="0.4">
      <c r="A20" s="9" t="s">
        <v>89</v>
      </c>
      <c r="B20" s="10" t="s">
        <v>77</v>
      </c>
      <c r="C20" s="5">
        <v>2</v>
      </c>
      <c r="D20" s="22">
        <f>CEILING(C3/12, 1)</f>
        <v>2</v>
      </c>
      <c r="E20" s="19"/>
    </row>
    <row r="21" spans="1:13" x14ac:dyDescent="0.4">
      <c r="A21" s="9" t="s">
        <v>90</v>
      </c>
      <c r="B21" s="10" t="s">
        <v>75</v>
      </c>
      <c r="C21" s="31" t="s">
        <v>147</v>
      </c>
      <c r="D21" s="22" t="str">
        <f>IF(COUNTIF('Team Information'!$1:$1, "Division") &gt; 0, "Disabled with divisions", IF(OR(MOD(C3, 2), C20 &gt; 2), "Yes", "No"))</f>
        <v>Yes</v>
      </c>
      <c r="E21" s="19"/>
    </row>
    <row r="22" spans="1:13" x14ac:dyDescent="0.4">
      <c r="A22" s="9" t="s">
        <v>148</v>
      </c>
      <c r="B22" s="10" t="s">
        <v>83</v>
      </c>
      <c r="C22" s="18">
        <f>IF(ISBLANK(C20), "N/A", IF(C21="Yes",1+_xlfn.CEILING.MATH((C3-1)/C20), _xlfn.CEILING.MATH(C3/C20)))</f>
        <v>11</v>
      </c>
      <c r="D22" s="12" t="s">
        <v>84</v>
      </c>
      <c r="E22" s="19"/>
      <c r="F22" s="11"/>
      <c r="J22" s="37"/>
    </row>
    <row r="23" spans="1:13" x14ac:dyDescent="0.4">
      <c r="A23" s="9" t="s">
        <v>91</v>
      </c>
      <c r="B23" s="10" t="s">
        <v>76</v>
      </c>
      <c r="C23" s="5">
        <v>17.5</v>
      </c>
      <c r="D23" s="12">
        <v>17.5</v>
      </c>
      <c r="E23" s="17"/>
    </row>
    <row r="24" spans="1:13" x14ac:dyDescent="0.4">
      <c r="A24" s="9" t="s">
        <v>92</v>
      </c>
      <c r="B24" s="10" t="s">
        <v>79</v>
      </c>
      <c r="C24" s="5">
        <v>4</v>
      </c>
      <c r="D24" s="12">
        <v>3</v>
      </c>
    </row>
    <row r="25" spans="1:13" x14ac:dyDescent="0.4">
      <c r="A25" s="9" t="s">
        <v>93</v>
      </c>
      <c r="B25" s="10" t="s">
        <v>80</v>
      </c>
      <c r="C25" s="5">
        <v>10</v>
      </c>
      <c r="D25" s="12">
        <f>IF(OR(ISBLANK(C24), ISBLANK(C23)), "", MAX(C24*(20 - C23), 0))</f>
        <v>10</v>
      </c>
    </row>
    <row r="26" spans="1:13" x14ac:dyDescent="0.4">
      <c r="A26" s="38">
        <f>MAX(C19:D19) + C22*TIME(0, C23, 0) + TIME(0, C25, 0)*FLOOR((C22 - IF(C21="Yes", 3, 2))/C24, 1)</f>
        <v>0.54999999999999993</v>
      </c>
      <c r="B26" s="10" t="s">
        <v>82</v>
      </c>
      <c r="C26" s="15">
        <f>IF(COUNTBLANK(C15:C25) &gt; 2, "N/A", A26 + IF(A26&gt;C15, TIME(0, MAX(0, C16 - C25), 0), 0))</f>
        <v>0.56388888888888877</v>
      </c>
      <c r="K26" s="16"/>
      <c r="L26" s="16"/>
      <c r="M26" s="16"/>
    </row>
    <row r="27" spans="1:13" x14ac:dyDescent="0.4">
      <c r="C27" s="15"/>
      <c r="K27" s="16"/>
      <c r="L27" s="16"/>
      <c r="M27" s="16"/>
    </row>
    <row r="28" spans="1:13" s="33" customFormat="1" x14ac:dyDescent="0.4">
      <c r="A28" s="35" t="s">
        <v>98</v>
      </c>
      <c r="B28" s="32" t="s">
        <v>64</v>
      </c>
      <c r="C28" s="33" t="s">
        <v>157</v>
      </c>
      <c r="D28" s="34" t="s">
        <v>158</v>
      </c>
      <c r="K28" s="34"/>
      <c r="L28" s="34"/>
      <c r="M28" s="34"/>
    </row>
    <row r="29" spans="1:13" s="33" customFormat="1" x14ac:dyDescent="0.4">
      <c r="A29" s="35" t="s">
        <v>99</v>
      </c>
      <c r="B29" s="32" t="s">
        <v>65</v>
      </c>
      <c r="C29" s="33" t="s">
        <v>159</v>
      </c>
      <c r="D29" s="34" t="s">
        <v>160</v>
      </c>
      <c r="K29" s="34"/>
      <c r="L29" s="34"/>
      <c r="M29" s="34"/>
    </row>
    <row r="30" spans="1:13" s="33" customFormat="1" x14ac:dyDescent="0.4">
      <c r="A30" s="35" t="s">
        <v>100</v>
      </c>
      <c r="B30" s="32" t="s">
        <v>70</v>
      </c>
      <c r="C30" s="33" t="s">
        <v>161</v>
      </c>
      <c r="D30" s="34" t="s">
        <v>162</v>
      </c>
      <c r="K30" s="34"/>
      <c r="L30" s="34"/>
      <c r="M30" s="34"/>
    </row>
    <row r="31" spans="1:13" s="11" customFormat="1" x14ac:dyDescent="0.4">
      <c r="A31" s="9"/>
      <c r="B31" s="10"/>
      <c r="D31" s="12"/>
      <c r="K31" s="12"/>
      <c r="L31" s="12"/>
      <c r="M31" s="12"/>
    </row>
    <row r="32" spans="1:13" x14ac:dyDescent="0.4">
      <c r="B32" s="14" t="s">
        <v>73</v>
      </c>
      <c r="I32" s="10"/>
      <c r="J32" s="11"/>
    </row>
    <row r="33" spans="1:13" s="33" customFormat="1" ht="15.45" customHeight="1" x14ac:dyDescent="0.4">
      <c r="A33" s="35" t="s">
        <v>95</v>
      </c>
      <c r="B33" s="32" t="s">
        <v>151</v>
      </c>
      <c r="C33" s="33" t="s">
        <v>163</v>
      </c>
      <c r="D33" s="34" t="s">
        <v>164</v>
      </c>
      <c r="E33" s="33" t="s">
        <v>165</v>
      </c>
      <c r="F33" s="33" t="s">
        <v>166</v>
      </c>
      <c r="K33" s="34"/>
      <c r="L33" s="34"/>
      <c r="M33" s="34"/>
    </row>
    <row r="34" spans="1:13" s="7" customFormat="1" x14ac:dyDescent="0.4">
      <c r="A34" s="9" t="s">
        <v>96</v>
      </c>
      <c r="B34" s="10" t="s">
        <v>139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 x14ac:dyDescent="0.4">
      <c r="A35" s="9"/>
      <c r="B35" s="10" t="s">
        <v>140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 x14ac:dyDescent="0.4">
      <c r="A36" s="9"/>
      <c r="B36" s="10"/>
      <c r="M36" s="12"/>
    </row>
    <row r="37" spans="1:13" x14ac:dyDescent="0.4">
      <c r="A37" s="9" t="s">
        <v>94</v>
      </c>
      <c r="B37" s="10" t="s">
        <v>85</v>
      </c>
      <c r="C37" s="5">
        <v>2</v>
      </c>
      <c r="D37" s="12">
        <f>IF(OR(ISBLANK(C20), COUNTBLANK(C23:C25) &gt; 0), "N/A", CEILING(3/2*C20*C34/(C23+C25/C24), 1))</f>
        <v>2</v>
      </c>
    </row>
    <row r="38" spans="1:13" x14ac:dyDescent="0.4">
      <c r="A38" s="9" t="s">
        <v>154</v>
      </c>
      <c r="B38" s="10" t="s">
        <v>167</v>
      </c>
      <c r="C38" s="31" t="s">
        <v>146</v>
      </c>
    </row>
    <row r="39" spans="1:13" x14ac:dyDescent="0.4">
      <c r="A39" s="9" t="s">
        <v>173</v>
      </c>
      <c r="B39" s="10" t="s">
        <v>172</v>
      </c>
      <c r="C39" s="30">
        <v>10</v>
      </c>
    </row>
    <row r="40" spans="1:13" s="34" customFormat="1" x14ac:dyDescent="0.4">
      <c r="A40" s="35" t="s">
        <v>106</v>
      </c>
      <c r="B40" s="32" t="s">
        <v>105</v>
      </c>
      <c r="C40" s="34" t="s">
        <v>168</v>
      </c>
      <c r="D40" s="34" t="s">
        <v>169</v>
      </c>
    </row>
    <row r="41" spans="1:13" s="34" customFormat="1" x14ac:dyDescent="0.4">
      <c r="A41" s="35" t="s">
        <v>141</v>
      </c>
      <c r="B41" s="32" t="s">
        <v>171</v>
      </c>
      <c r="D41" s="34" t="s">
        <v>170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4">
    <cfRule type="expression" dxfId="5" priority="4">
      <formula>AND(COLUMN() - 4 &lt; COUNTA(A$34:$C$34), COLUMN() &gt; 2, NOT(ISBLANK(A33)))</formula>
    </cfRule>
  </conditionalFormatting>
  <conditionalFormatting sqref="A40:XFD40">
    <cfRule type="expression" dxfId="4" priority="13">
      <formula>AND(COLUMN() - 2 &gt; $C$37, NOT(ISBLANK(A40)))</formula>
    </cfRule>
    <cfRule type="expression" dxfId="3" priority="14">
      <formula>AND(COLUMN() &gt; 2, COLUMN()  - 3 &lt; $C$37, NOT(ISBLANK(A40)))</formula>
    </cfRule>
    <cfRule type="expression" dxfId="2" priority="15">
      <formula>AND(COLUMN() &gt; 2, COLUMN() - 3 &lt; $C$37)</formula>
    </cfRule>
  </conditionalFormatting>
  <conditionalFormatting sqref="A41:XFD41">
    <cfRule type="expression" dxfId="1" priority="16">
      <formula>AND(OR(ISBLANK(A40), COLUMN() - 2 &gt; $C$37), NOT(ISBLANK(A41)))</formula>
    </cfRule>
    <cfRule type="expression" dxfId="0" priority="17">
      <formula>AND(COLUMN() &gt; 2, COLUMN() - 3 &lt; $C$37, NOT(ISBLANK(A40)))</formula>
    </cfRule>
  </conditionalFormatting>
  <dataValidations count="7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24 C37 C39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2019-05-03T16:05:39Z</dcterms:modified>
</cp:coreProperties>
</file>