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19172DB6-197C-47E3-84BD-0ED6D5776C0A}" xr6:coauthVersionLast="44" xr6:coauthVersionMax="44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5" i="26" l="1"/>
  <c r="C36" i="26" l="1"/>
  <c r="D38" i="26" l="1"/>
  <c r="D36" i="26" l="1"/>
  <c r="E36" i="26" s="1"/>
  <c r="F36" i="26" s="1"/>
  <c r="G36" i="26" s="1"/>
  <c r="H36" i="26" s="1"/>
  <c r="I36" i="26" s="1"/>
  <c r="J36" i="26" s="1"/>
  <c r="K36" i="26" s="1"/>
  <c r="L36" i="26" s="1"/>
  <c r="D19" i="26" l="1"/>
  <c r="C3" i="26" l="1"/>
  <c r="C22" i="26" s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<sst xmlns="http://schemas.openxmlformats.org/spreadsheetml/2006/main" count="182" uniqueCount="180">
  <si>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</si>
  <si>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</si>
  <si>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</si>
  <si>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</si>
  <si>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</si>
  <si>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</si>
  <si>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</si>
  <si>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</si>
  <si>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</si>
  <si>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</si>
  <si>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</si>
  <si>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</si>
  <si>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</si>
  <si>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</si>
  <si>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</si>
  <si>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</si>
  <si>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</si>
  <si>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</si>
  <si>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</si>
  <si>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</si>
  <si>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</si>
  <si>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</si>
  <si>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</si>
  <si>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</si>
  <si>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</si>
  <si>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</si>
  <si>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</si>
  <si>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</si>
  <si>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</si>
  <si>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</si>
  <si>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</si>
  <si>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</si>
  <si>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</si>
  <si>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</si>
  <si>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</si>
  <si>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</si>
  <si>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</si>
  <si>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</si>
  <si>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</si>
  <si>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</si>
  <si>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</si>
  <si>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</si>
  <si>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</si>
  <si>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</si>
  <si>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</si>
  <si>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</si>
  <si>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</si>
  <si>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</si>
  <si>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</si>
  <si>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</si>
  <si>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</si>
  <si>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</si>
  <si>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</si>
  <si>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</si>
  <si>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</si>
  <si>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</si>
  <si>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</si>
  <si>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</si>
  <si>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</si>
  <si>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</si>
  <si>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</si>
  <si>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</si>
  <si>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</si>
  <si>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</si>
  <si>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</si>
  <si>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</si>
  <si>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</si>
  <si>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</si>
  <si>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</si>
  <si>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</si>
  <si>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</si>
  <si>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</si>
  <si>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</si>
  <si>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</si>
  <si>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</si>
  <si>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</si>
  <si>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</si>
  <si>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</si>
  <si>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</si>
  <si>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</si>
  <si>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</si>
  <si>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</si>
  <si>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</si>
  <si>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</si>
  <si>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</si>
  <si>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</si>
  <si>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</si>
  <si>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</si>
  <si>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</si>
  <si>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</si>
  <si>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</si>
  <si>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</si>
  <si>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</si>
  <si>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</si>
  <si>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</si>
  <si>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</si>
  <si>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</si>
  <si>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</si>
  <si>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</si>
  <si>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</si>
  <si>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</si>
  <si>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</si>
  <si>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</si>
  <si>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</si>
  <si>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</si>
  <si>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</si>
  <si>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</si>
  <si>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</si>
  <si>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</si>
  <si>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</si>
  <si>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</si>
  <si>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</si>
  <si>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</si>
  <si>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</si>
  <si>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</si>
  <si>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</si>
  <si>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</si>
  <si>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</si>
  <si>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</si>
  <si>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</si>
  <si>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</si>
  <si>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</si>
  <si>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</si>
  <si>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</si>
  <si>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</si>
  <si>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</si>
  <si>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</si>
  <si>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</si>
  <si>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</si>
  <si>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</si>
  <si>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</si>
  <si>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</si>
  <si>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</si>
  <si>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</si>
  <si>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</si>
  <si>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</si>
  <si>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</si>
  <si>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</si>
  <si>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</si>
  <si>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</si>
  <si>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</si>
  <si>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</si>
  <si>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</si>
  <si>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</si>
  <si>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</si>
  <si>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</si>
  <si>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</si>
  <si>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</si>
  <si>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</si>
  <si>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</si>
  <si>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</si>
  <si>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</si>
  <si>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</si>
  <si>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</si>
  <si>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</si>
  <si>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</si>
  <si>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</si>
  <si>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</si>
  <si>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</si>
  <si>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</si>
  <si>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</si>
  <si>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</si>
  <si>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Practice</t>
  </si>
  <si>
    <t>Table Round Abbrevation (eg, 'Practice Round' -&gt; 'P'; optional)</t>
  </si>
  <si>
    <t>Gym</t>
  </si>
  <si>
    <t>Registration</t>
  </si>
  <si>
    <t>P1</t>
  </si>
  <si>
    <t>P2</t>
  </si>
  <si>
    <t>RD1</t>
  </si>
  <si>
    <t>RD2</t>
  </si>
  <si>
    <t>CV 1</t>
  </si>
  <si>
    <t>CV 2</t>
  </si>
  <si>
    <t>Rd 1</t>
  </si>
  <si>
    <t>Rd 2</t>
  </si>
  <si>
    <t>Rd 3</t>
  </si>
  <si>
    <t>Hubert</t>
  </si>
  <si>
    <t>Louis</t>
  </si>
  <si>
    <t>Dewford</t>
  </si>
  <si>
    <t>nodivisions small</t>
  </si>
  <si>
    <t>t_round_abbreviations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</si>
</sst>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4" xfId="0" applyFont="1" applyFill="1" applyBorder="1" applyAlignment="1" applyProtection="1">
      <alignment horizontal="center"/>
      <protection locked="0"/>
    </xf>
    <xf numFmtId="0" fontId="5" fillId="2" borderId="5" xfId="0" applyFont="1" applyFill="1" applyBorder="1" applyAlignment="1" applyProtection="1">
      <alignment horizontal="center"/>
      <protection locked="0"/>
    </xf>
    <xf numFmtId="0" fontId="5" fillId="2" borderId="6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4"/>
  <sheetViews>
    <sheetView topLeftCell="A3" workbookViewId="0">
      <selection activeCell="B30" sqref="B30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 x14ac:dyDescent="0.4">
      <c r="A1" s="3" t="s">
        <v>0</v>
      </c>
      <c r="B1" s="3" t="s">
        <v>1</v>
      </c>
      <c r="C1" s="3" t="s">
        <v>2</v>
      </c>
      <c r="D1" s="3" t="s">
        <v>106</v>
      </c>
      <c r="E1" s="3" t="s">
        <v>3</v>
      </c>
      <c r="M1" s="3"/>
    </row>
    <row r="2" spans="1:13" x14ac:dyDescent="0.4">
      <c r="A2" s="2">
        <v>16935</v>
      </c>
      <c r="B2" s="1" t="s">
        <v>6</v>
      </c>
      <c r="C2" s="1" t="s">
        <v>23</v>
      </c>
      <c r="D2" s="4" t="s">
        <v>107</v>
      </c>
      <c r="E2" s="1" t="s">
        <v>42</v>
      </c>
    </row>
    <row r="3" spans="1:13" x14ac:dyDescent="0.4">
      <c r="A3" s="2">
        <v>2463</v>
      </c>
      <c r="B3" s="1" t="s">
        <v>7</v>
      </c>
      <c r="C3" s="1" t="s">
        <v>24</v>
      </c>
      <c r="D3" s="4" t="s">
        <v>108</v>
      </c>
      <c r="E3" s="1" t="s">
        <v>43</v>
      </c>
    </row>
    <row r="4" spans="1:13" x14ac:dyDescent="0.4">
      <c r="A4" s="2">
        <v>33754</v>
      </c>
      <c r="B4" s="1" t="s">
        <v>9</v>
      </c>
      <c r="C4" s="1" t="s">
        <v>25</v>
      </c>
      <c r="D4" s="4" t="s">
        <v>109</v>
      </c>
      <c r="E4" s="1" t="s">
        <v>44</v>
      </c>
    </row>
    <row r="5" spans="1:13" x14ac:dyDescent="0.4">
      <c r="A5" s="2">
        <v>20996</v>
      </c>
      <c r="B5" s="1" t="s">
        <v>8</v>
      </c>
      <c r="C5" s="1" t="s">
        <v>26</v>
      </c>
      <c r="D5" s="4" t="s">
        <v>110</v>
      </c>
      <c r="E5" s="1" t="s">
        <v>45</v>
      </c>
    </row>
    <row r="6" spans="1:13" x14ac:dyDescent="0.4">
      <c r="A6" s="2">
        <v>10666</v>
      </c>
      <c r="B6" s="1" t="s">
        <v>10</v>
      </c>
      <c r="C6" s="1" t="s">
        <v>27</v>
      </c>
      <c r="D6" s="4" t="s">
        <v>111</v>
      </c>
      <c r="E6" s="1" t="s">
        <v>46</v>
      </c>
    </row>
    <row r="7" spans="1:13" x14ac:dyDescent="0.4">
      <c r="A7" s="2">
        <v>28868</v>
      </c>
      <c r="B7" s="1" t="s">
        <v>21</v>
      </c>
      <c r="C7" s="1" t="s">
        <v>28</v>
      </c>
      <c r="D7" s="4" t="s">
        <v>112</v>
      </c>
      <c r="E7" s="1" t="s">
        <v>47</v>
      </c>
    </row>
    <row r="8" spans="1:13" x14ac:dyDescent="0.4">
      <c r="A8" s="2">
        <v>24652</v>
      </c>
      <c r="B8" s="1" t="s">
        <v>11</v>
      </c>
      <c r="C8" s="1" t="s">
        <v>29</v>
      </c>
      <c r="D8" s="4" t="s">
        <v>113</v>
      </c>
      <c r="E8" s="1" t="s">
        <v>48</v>
      </c>
    </row>
    <row r="9" spans="1:13" x14ac:dyDescent="0.4">
      <c r="A9" s="2">
        <v>31946</v>
      </c>
      <c r="B9" s="1" t="s">
        <v>12</v>
      </c>
      <c r="C9" s="1" t="s">
        <v>30</v>
      </c>
      <c r="D9" s="4" t="s">
        <v>114</v>
      </c>
      <c r="E9" s="1" t="s">
        <v>49</v>
      </c>
    </row>
    <row r="10" spans="1:13" x14ac:dyDescent="0.4">
      <c r="A10" s="2">
        <v>1542</v>
      </c>
      <c r="B10" s="1" t="s">
        <v>13</v>
      </c>
      <c r="C10" s="1" t="s">
        <v>31</v>
      </c>
      <c r="D10" s="4" t="s">
        <v>115</v>
      </c>
      <c r="E10" s="1" t="s">
        <v>50</v>
      </c>
    </row>
    <row r="11" spans="1:13" x14ac:dyDescent="0.4">
      <c r="A11" s="2">
        <v>49523</v>
      </c>
      <c r="B11" s="1" t="s">
        <v>14</v>
      </c>
      <c r="C11" s="1" t="s">
        <v>32</v>
      </c>
      <c r="D11" s="4" t="s">
        <v>116</v>
      </c>
      <c r="E11" s="1" t="s">
        <v>51</v>
      </c>
    </row>
    <row r="12" spans="1:13" x14ac:dyDescent="0.4">
      <c r="A12" s="2">
        <v>19885</v>
      </c>
      <c r="B12" s="1" t="s">
        <v>15</v>
      </c>
      <c r="C12" s="1" t="s">
        <v>33</v>
      </c>
      <c r="D12" s="4" t="s">
        <v>117</v>
      </c>
      <c r="E12" s="1" t="s">
        <v>52</v>
      </c>
    </row>
    <row r="13" spans="1:13" x14ac:dyDescent="0.4">
      <c r="A13" s="2">
        <v>41793</v>
      </c>
      <c r="B13" s="1" t="s">
        <v>16</v>
      </c>
      <c r="C13" s="1" t="s">
        <v>34</v>
      </c>
      <c r="D13" s="4" t="s">
        <v>118</v>
      </c>
      <c r="E13" s="1" t="s">
        <v>53</v>
      </c>
    </row>
    <row r="14" spans="1:13" x14ac:dyDescent="0.4">
      <c r="A14" s="2">
        <v>42066</v>
      </c>
      <c r="B14" s="1" t="s">
        <v>4</v>
      </c>
      <c r="C14" s="1" t="s">
        <v>35</v>
      </c>
      <c r="D14" s="4" t="s">
        <v>119</v>
      </c>
      <c r="E14" s="1" t="s">
        <v>54</v>
      </c>
    </row>
    <row r="15" spans="1:13" x14ac:dyDescent="0.4">
      <c r="A15" s="2">
        <v>2932</v>
      </c>
      <c r="B15" s="1" t="s">
        <v>17</v>
      </c>
      <c r="C15" s="1" t="s">
        <v>36</v>
      </c>
      <c r="D15" s="4" t="s">
        <v>120</v>
      </c>
      <c r="E15" s="1" t="s">
        <v>55</v>
      </c>
    </row>
    <row r="16" spans="1:13" x14ac:dyDescent="0.4">
      <c r="A16" s="2">
        <v>505</v>
      </c>
      <c r="B16" s="1" t="s">
        <v>22</v>
      </c>
      <c r="C16" s="1" t="s">
        <v>37</v>
      </c>
      <c r="D16" s="4" t="s">
        <v>121</v>
      </c>
      <c r="E16" s="1" t="s">
        <v>56</v>
      </c>
    </row>
    <row r="17" spans="1:10" x14ac:dyDescent="0.4">
      <c r="A17" s="2">
        <v>3036</v>
      </c>
      <c r="B17" s="1" t="s">
        <v>20</v>
      </c>
      <c r="C17" s="1" t="s">
        <v>38</v>
      </c>
      <c r="D17" s="4" t="s">
        <v>122</v>
      </c>
      <c r="E17" s="1" t="s">
        <v>57</v>
      </c>
    </row>
    <row r="18" spans="1:10" x14ac:dyDescent="0.4">
      <c r="A18" s="2">
        <v>46007</v>
      </c>
      <c r="B18" s="1" t="s">
        <v>5</v>
      </c>
      <c r="C18" s="1" t="s">
        <v>39</v>
      </c>
      <c r="D18" s="4" t="s">
        <v>123</v>
      </c>
      <c r="E18" s="1" t="s">
        <v>58</v>
      </c>
    </row>
    <row r="19" spans="1:10" x14ac:dyDescent="0.4">
      <c r="A19" s="2">
        <v>23932</v>
      </c>
      <c r="B19" s="1" t="s">
        <v>19</v>
      </c>
      <c r="C19" s="1" t="s">
        <v>40</v>
      </c>
      <c r="D19" s="4" t="s">
        <v>124</v>
      </c>
      <c r="E19" s="1" t="s">
        <v>59</v>
      </c>
    </row>
    <row r="20" spans="1:10" customFormat="1" x14ac:dyDescent="0.4">
      <c r="A20" s="2">
        <v>38561</v>
      </c>
      <c r="B20" s="2" t="s">
        <v>61</v>
      </c>
      <c r="C20" s="2" t="s">
        <v>62</v>
      </c>
      <c r="D20" s="4" t="s">
        <v>125</v>
      </c>
      <c r="E20" s="2" t="s">
        <v>63</v>
      </c>
      <c r="G20" s="2"/>
      <c r="H20" s="2"/>
      <c r="I20" s="2"/>
      <c r="J20" s="2"/>
    </row>
    <row r="21" spans="1:10" x14ac:dyDescent="0.4">
      <c r="A21" s="2">
        <v>31303</v>
      </c>
      <c r="B21" s="1" t="s">
        <v>18</v>
      </c>
      <c r="C21" s="1" t="s">
        <v>41</v>
      </c>
      <c r="D21" s="4" t="s">
        <v>126</v>
      </c>
      <c r="E21" s="1" t="s">
        <v>60</v>
      </c>
      <c r="F21"/>
      <c r="G21"/>
    </row>
    <row r="22" spans="1:10" x14ac:dyDescent="0.4">
      <c r="A22" s="2">
        <v>15289</v>
      </c>
      <c r="B22" s="2" t="s">
        <v>141</v>
      </c>
      <c r="C22" s="2" t="s">
        <v>142</v>
      </c>
      <c r="D22" s="4" t="s">
        <v>143</v>
      </c>
      <c r="E22" s="2" t="s">
        <v>144</v>
      </c>
      <c r="F22"/>
      <c r="G22"/>
    </row>
    <row r="23" spans="1:10" x14ac:dyDescent="0.4">
      <c r="D23" s="4"/>
      <c r="F23"/>
      <c r="G23"/>
    </row>
    <row r="24" spans="1:10" x14ac:dyDescent="0.4">
      <c r="D24" s="4"/>
      <c r="F24"/>
      <c r="G24"/>
    </row>
    <row r="25" spans="1:10" x14ac:dyDescent="0.4">
      <c r="D25" s="4"/>
      <c r="F25"/>
      <c r="G25"/>
    </row>
    <row r="26" spans="1:10" x14ac:dyDescent="0.4">
      <c r="D26" s="4"/>
      <c r="F26"/>
      <c r="G26"/>
    </row>
    <row r="27" spans="1:10" x14ac:dyDescent="0.4">
      <c r="D27" s="4"/>
      <c r="F27"/>
      <c r="G27"/>
    </row>
    <row r="28" spans="1:10" x14ac:dyDescent="0.4">
      <c r="D28" s="4"/>
      <c r="F28"/>
      <c r="G28"/>
    </row>
    <row r="29" spans="1:10" x14ac:dyDescent="0.4">
      <c r="D29" s="4"/>
      <c r="F29"/>
      <c r="G29"/>
    </row>
    <row r="30" spans="1:10" x14ac:dyDescent="0.4">
      <c r="D30" s="4"/>
      <c r="F30"/>
      <c r="G30"/>
    </row>
    <row r="31" spans="1:10" x14ac:dyDescent="0.4">
      <c r="D31" s="4"/>
      <c r="F31"/>
      <c r="G31"/>
    </row>
    <row r="32" spans="1:10" x14ac:dyDescent="0.4">
      <c r="D32" s="4"/>
      <c r="F32"/>
      <c r="G32"/>
    </row>
    <row r="33" spans="4:7" x14ac:dyDescent="0.4">
      <c r="D33" s="4"/>
      <c r="F33"/>
      <c r="G33"/>
    </row>
    <row r="34" spans="4:7" x14ac:dyDescent="0.4">
      <c r="D34" s="4"/>
      <c r="F34"/>
      <c r="G34"/>
    </row>
    <row r="35" spans="4:7" x14ac:dyDescent="0.4">
      <c r="D35" s="4"/>
      <c r="F35"/>
      <c r="G35"/>
    </row>
    <row r="36" spans="4:7" x14ac:dyDescent="0.4">
      <c r="D36" s="4"/>
      <c r="F36"/>
      <c r="G36"/>
    </row>
    <row r="37" spans="4:7" x14ac:dyDescent="0.4">
      <c r="D37" s="4"/>
      <c r="F37"/>
      <c r="G37"/>
    </row>
    <row r="38" spans="4:7" x14ac:dyDescent="0.4">
      <c r="D38" s="4"/>
      <c r="F38"/>
      <c r="G38"/>
    </row>
    <row r="39" spans="4:7" x14ac:dyDescent="0.4">
      <c r="D39" s="4"/>
      <c r="F39"/>
      <c r="G39"/>
    </row>
    <row r="40" spans="4:7" x14ac:dyDescent="0.4">
      <c r="D40" s="4"/>
      <c r="F40"/>
      <c r="G40"/>
    </row>
    <row r="41" spans="4:7" x14ac:dyDescent="0.4">
      <c r="D41" s="4"/>
      <c r="F41"/>
      <c r="G41"/>
    </row>
    <row r="42" spans="4:7" x14ac:dyDescent="0.4">
      <c r="D42" s="4"/>
    </row>
    <row r="43" spans="4:7" x14ac:dyDescent="0.4">
      <c r="D43" s="4"/>
    </row>
    <row r="44" spans="4:7" x14ac:dyDescent="0.4">
      <c r="D44" s="4"/>
    </row>
  </sheetData>
  <hyperlinks>
    <hyperlink ref="D2" r:id="rId1" xr:uid="{09406C77-8EEF-43C8-A520-666360AE28A5}"/>
    <hyperlink ref="D3" r:id="rId2" xr:uid="{1A489DCC-01FF-4C42-9D2D-74AEF62141D2}"/>
    <hyperlink ref="D4" r:id="rId3" xr:uid="{CA4BA31F-F905-4E10-AA7F-A650B5C42146}"/>
    <hyperlink ref="D5" r:id="rId4" xr:uid="{2EE8BD06-9068-48DD-BFA6-646E9F881FCE}"/>
    <hyperlink ref="D6" r:id="rId5" xr:uid="{FBEE96C7-F792-4235-AC46-8315D4334A30}"/>
    <hyperlink ref="D7" r:id="rId6" xr:uid="{A4253201-E98D-4C62-A0F7-A98E94D5EC5D}"/>
    <hyperlink ref="D8" r:id="rId7" xr:uid="{5B499A50-CEA5-4F69-B324-4E199D0CBA2F}"/>
    <hyperlink ref="D9" r:id="rId8" xr:uid="{E756C0F2-919F-4815-BA42-7DF51B15B2BF}"/>
    <hyperlink ref="D10" r:id="rId9" xr:uid="{C294A132-7CA5-4B20-B353-3C35EC20501E}"/>
    <hyperlink ref="D11" r:id="rId10" xr:uid="{C56C09E6-4F97-4B76-9949-FC2988D11CC9}"/>
    <hyperlink ref="D12" r:id="rId11" xr:uid="{D335A931-0518-4035-9594-E0A44539C630}"/>
    <hyperlink ref="D13" r:id="rId12" xr:uid="{8C38192D-A11E-4B0C-8E4C-B2DC34AE4AA7}"/>
    <hyperlink ref="D14" r:id="rId13" xr:uid="{BA78C983-AF8C-47F2-A428-0182FE0BA96C}"/>
    <hyperlink ref="D15" r:id="rId14" xr:uid="{7FDFD5BF-A9F1-4DC5-A2A3-AEF2A761CA80}"/>
    <hyperlink ref="D16" r:id="rId15" xr:uid="{98B2D4E2-7736-4388-8EBC-8831DADF5769}"/>
    <hyperlink ref="D17" r:id="rId16" xr:uid="{4B64386E-19FA-4B81-B389-44A43F81C388}"/>
    <hyperlink ref="D18" r:id="rId17" xr:uid="{5B62A857-E0F2-4734-A2ED-A1170C21C3AB}"/>
    <hyperlink ref="D19" r:id="rId18" xr:uid="{7EC15ED2-FA3A-4DD9-B36A-5E14F1F3D2EF}"/>
    <hyperlink ref="D20" r:id="rId19" xr:uid="{D99DC989-E032-43D2-B1E4-3F5BB9D41C1E}"/>
    <hyperlink ref="D21" r:id="rId20" xr:uid="{4AF6891E-5E9D-4731-B6CA-B74ACC345B05}"/>
    <hyperlink ref="D22" r:id="rId21" xr:uid="{F0FB30C2-9E94-4EA3-B406-A438708CD4FB}"/>
  </hyperlinks>
  <pageMargins left="0.7" right="0.7" top="0.75" bottom="0.75" header="0.3" footer="0.3"/>
  <pageSetup orientation="portrait" r:id="rId2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2"/>
  <sheetViews>
    <sheetView tabSelected="1" topLeftCell="B2" workbookViewId="0">
      <selection activeCell="C20" sqref="C20"/>
    </sheetView>
  </sheetViews>
  <sheetFormatPr defaultRowHeight="14.6" x14ac:dyDescent="0.4"/>
  <cols>
    <col min="1" max="1" width="22.07421875" style="8" hidden="1" customWidth="1"/>
    <col min="2" max="2" width="64.61328125" style="9" customWidth="1"/>
    <col min="3" max="3" width="15.4609375" style="10" customWidth="1"/>
    <col min="4" max="4" width="20.84375" style="11" customWidth="1"/>
    <col min="5" max="5" width="9.23046875" style="12" customWidth="1"/>
    <col min="6" max="6" width="12.3046875" style="12" customWidth="1"/>
    <col min="7" max="7" width="10.3828125" style="12" customWidth="1"/>
    <col min="8" max="8" width="9.23046875" style="12"/>
    <col min="9" max="9" width="9.23046875" style="12" customWidth="1"/>
    <col min="10" max="10" width="23.61328125" style="12" customWidth="1"/>
    <col min="11" max="11" width="18.61328125" style="11" customWidth="1"/>
    <col min="12" max="12" width="23.921875" style="11" customWidth="1"/>
    <col min="13" max="13" width="23.84375" style="11" customWidth="1"/>
    <col min="14" max="14" width="9.23046875" style="12"/>
    <col min="15" max="15" width="21.15234375" style="12" customWidth="1"/>
    <col min="16" max="16384" width="9.23046875" style="12"/>
  </cols>
  <sheetData>
    <row r="1" spans="1:13" hidden="1" x14ac:dyDescent="0.4">
      <c r="A1" s="8" t="s">
        <v>102</v>
      </c>
      <c r="B1" s="9" t="s">
        <v>101</v>
      </c>
      <c r="C1" s="10" t="s">
        <v>103</v>
      </c>
    </row>
    <row r="2" spans="1:13" s="25" customFormat="1" ht="18.45" x14ac:dyDescent="0.5">
      <c r="A2" s="26" t="s">
        <v>96</v>
      </c>
      <c r="B2" s="27" t="s">
        <v>66</v>
      </c>
      <c r="C2" s="50" t="s">
        <v>178</v>
      </c>
      <c r="D2" s="51"/>
      <c r="E2" s="51"/>
      <c r="F2" s="51"/>
      <c r="G2" s="51"/>
      <c r="H2" s="51"/>
      <c r="I2" s="51"/>
      <c r="J2" s="52"/>
      <c r="K2" s="24"/>
      <c r="L2" s="24"/>
      <c r="M2" s="24"/>
    </row>
    <row r="3" spans="1:13" ht="15.9" x14ac:dyDescent="0.4">
      <c r="B3" s="9" t="s">
        <v>74</v>
      </c>
      <c r="C3" s="10">
        <f>COUNTA('Team Information'!A:A) - COUNTA('Team Information'!A1)</f>
        <v>21</v>
      </c>
      <c r="E3" s="47" t="s">
        <v>71</v>
      </c>
      <c r="F3" s="47"/>
      <c r="G3" s="47"/>
      <c r="H3" s="47"/>
      <c r="I3" s="47"/>
      <c r="J3" s="23">
        <f>IF(OR(ISBLANK(C38),C26="N/A"),"N/A",C26+TIME(0,C16-C23,0)+TIME(0,E35,0)+(CEILING(C3/(2*C38),1)+IF(C40&gt;0,FLOOR(C3/(2*C40),1),0))*(TIME(0,SUM(F35:K35),0)))</f>
        <v>0.61666666666666647</v>
      </c>
    </row>
    <row r="6" spans="1:13" x14ac:dyDescent="0.4">
      <c r="A6" s="8" t="s">
        <v>86</v>
      </c>
      <c r="B6" s="9" t="s">
        <v>67</v>
      </c>
      <c r="C6" s="5" t="s">
        <v>68</v>
      </c>
      <c r="D6" s="48" t="s">
        <v>85</v>
      </c>
      <c r="E6" s="49"/>
      <c r="F6" s="49"/>
      <c r="G6" s="49"/>
      <c r="H6" s="49"/>
      <c r="I6" s="49"/>
      <c r="J6" s="49"/>
      <c r="K6" s="49"/>
      <c r="L6" s="49"/>
      <c r="M6" s="12"/>
    </row>
    <row r="7" spans="1:13" x14ac:dyDescent="0.4">
      <c r="A7" s="8" t="s">
        <v>87</v>
      </c>
      <c r="B7" s="9" t="s">
        <v>78</v>
      </c>
      <c r="C7" s="39">
        <v>12.5</v>
      </c>
      <c r="D7" s="48"/>
      <c r="E7" s="49"/>
      <c r="F7" s="49"/>
      <c r="G7" s="49"/>
      <c r="H7" s="49"/>
      <c r="I7" s="49"/>
      <c r="J7" s="49"/>
      <c r="K7" s="49"/>
      <c r="L7" s="49"/>
      <c r="M7" s="12"/>
    </row>
    <row r="8" spans="1:13" x14ac:dyDescent="0.4">
      <c r="A8" s="8" t="s">
        <v>127</v>
      </c>
      <c r="B8" s="9" t="s">
        <v>134</v>
      </c>
      <c r="C8" s="38">
        <v>0.375</v>
      </c>
      <c r="D8" s="28"/>
      <c r="E8" s="28"/>
      <c r="F8" s="28"/>
      <c r="G8" s="28"/>
      <c r="H8" s="28"/>
      <c r="I8" s="28"/>
      <c r="J8" s="28"/>
      <c r="K8" s="28"/>
      <c r="L8" s="28"/>
      <c r="M8" s="12"/>
    </row>
    <row r="9" spans="1:13" x14ac:dyDescent="0.4">
      <c r="A9" s="8" t="s">
        <v>128</v>
      </c>
      <c r="B9" s="9" t="s">
        <v>133</v>
      </c>
      <c r="C9" s="39">
        <v>30</v>
      </c>
      <c r="D9" s="28"/>
      <c r="E9" s="28"/>
      <c r="F9" s="28"/>
      <c r="G9" s="28"/>
      <c r="H9" s="28"/>
      <c r="I9" s="28"/>
      <c r="J9" s="28"/>
      <c r="K9" s="28"/>
      <c r="L9" s="28"/>
      <c r="M9" s="12"/>
    </row>
    <row r="10" spans="1:13" x14ac:dyDescent="0.4">
      <c r="A10" s="8" t="s">
        <v>132</v>
      </c>
      <c r="B10" s="9" t="s">
        <v>135</v>
      </c>
      <c r="C10" s="40" t="s">
        <v>164</v>
      </c>
      <c r="D10" s="28"/>
      <c r="E10" s="28"/>
      <c r="F10" s="28"/>
      <c r="G10" s="28"/>
      <c r="H10" s="28"/>
      <c r="I10" s="28"/>
      <c r="J10" s="28"/>
      <c r="K10" s="28"/>
      <c r="L10" s="28"/>
      <c r="M10" s="12"/>
    </row>
    <row r="11" spans="1:13" x14ac:dyDescent="0.4">
      <c r="A11" s="8" t="s">
        <v>129</v>
      </c>
      <c r="B11" s="9" t="s">
        <v>131</v>
      </c>
      <c r="C11" s="38">
        <v>0.35416666666666669</v>
      </c>
      <c r="D11" s="28"/>
      <c r="E11" s="28"/>
      <c r="F11" s="28"/>
      <c r="G11" s="28"/>
      <c r="H11" s="28"/>
      <c r="I11" s="28"/>
      <c r="J11" s="28"/>
      <c r="K11" s="28"/>
      <c r="L11" s="28"/>
      <c r="M11" s="12"/>
    </row>
    <row r="12" spans="1:13" x14ac:dyDescent="0.4">
      <c r="A12" s="8" t="s">
        <v>130</v>
      </c>
      <c r="B12" s="9" t="s">
        <v>148</v>
      </c>
      <c r="C12" s="39">
        <v>15</v>
      </c>
      <c r="D12" s="22"/>
      <c r="E12" s="28"/>
      <c r="F12" s="28"/>
      <c r="G12" s="28"/>
      <c r="H12" s="28"/>
      <c r="I12" s="28"/>
      <c r="J12" s="28"/>
      <c r="K12" s="28"/>
      <c r="L12" s="28"/>
      <c r="M12" s="12"/>
    </row>
    <row r="13" spans="1:13" x14ac:dyDescent="0.4">
      <c r="A13" s="8" t="s">
        <v>136</v>
      </c>
      <c r="B13" s="9" t="s">
        <v>137</v>
      </c>
      <c r="C13" s="40" t="s">
        <v>165</v>
      </c>
      <c r="D13" s="22"/>
      <c r="E13" s="28"/>
      <c r="F13" s="28"/>
      <c r="G13" s="28"/>
      <c r="H13" s="28"/>
      <c r="I13" s="28"/>
      <c r="J13" s="28"/>
      <c r="K13" s="28"/>
      <c r="L13" s="28"/>
      <c r="M13" s="12"/>
    </row>
    <row r="14" spans="1:13" x14ac:dyDescent="0.4">
      <c r="A14" s="8" t="s">
        <v>151</v>
      </c>
      <c r="B14" s="9" t="s">
        <v>157</v>
      </c>
      <c r="C14" s="38">
        <v>0.45833333333333331</v>
      </c>
      <c r="D14" s="22"/>
      <c r="E14" s="28"/>
      <c r="F14" s="28"/>
      <c r="G14" s="28"/>
      <c r="H14" s="28"/>
      <c r="I14" s="28"/>
      <c r="J14" s="28"/>
      <c r="K14" s="28"/>
      <c r="L14" s="28"/>
      <c r="M14" s="12"/>
    </row>
    <row r="15" spans="1:13" x14ac:dyDescent="0.4">
      <c r="A15" s="8" t="s">
        <v>152</v>
      </c>
      <c r="B15" s="9" t="s">
        <v>158</v>
      </c>
      <c r="C15" s="38">
        <v>0.54166666666666663</v>
      </c>
      <c r="D15" s="22"/>
      <c r="E15" s="28"/>
      <c r="F15" s="28"/>
      <c r="G15" s="28"/>
      <c r="H15" s="28"/>
      <c r="I15" s="28"/>
      <c r="J15" s="28"/>
      <c r="K15" s="28"/>
      <c r="L15" s="28"/>
      <c r="M15" s="12"/>
    </row>
    <row r="16" spans="1:13" x14ac:dyDescent="0.4">
      <c r="A16" s="8" t="s">
        <v>149</v>
      </c>
      <c r="B16" s="9" t="s">
        <v>159</v>
      </c>
      <c r="C16" s="39">
        <v>30</v>
      </c>
      <c r="D16" s="22"/>
      <c r="E16" s="28"/>
      <c r="F16" s="28"/>
      <c r="G16" s="28"/>
      <c r="H16" s="28"/>
      <c r="I16" s="28"/>
      <c r="J16" s="28"/>
      <c r="K16" s="28"/>
      <c r="L16" s="28"/>
      <c r="M16" s="12"/>
    </row>
    <row r="17" spans="1:13" x14ac:dyDescent="0.4">
      <c r="A17" s="8" t="s">
        <v>145</v>
      </c>
      <c r="B17" s="13"/>
      <c r="H17" s="35"/>
      <c r="J17" s="35"/>
    </row>
    <row r="18" spans="1:13" x14ac:dyDescent="0.4">
      <c r="A18" s="8" t="s">
        <v>146</v>
      </c>
      <c r="B18" s="13" t="s">
        <v>72</v>
      </c>
      <c r="D18" s="15" t="s">
        <v>69</v>
      </c>
    </row>
    <row r="19" spans="1:13" x14ac:dyDescent="0.4">
      <c r="A19" s="8" t="s">
        <v>100</v>
      </c>
      <c r="B19" s="9" t="s">
        <v>80</v>
      </c>
      <c r="C19" s="42">
        <v>0.40625</v>
      </c>
      <c r="D19" s="19">
        <f>MAX(C8+TIME(0, C9, 0), C11 + TIME(0, C12, 0)) + TIME(0, C7, 0)</f>
        <v>0.40416666666666667</v>
      </c>
      <c r="E19" s="20"/>
    </row>
    <row r="20" spans="1:13" x14ac:dyDescent="0.4">
      <c r="A20" s="8" t="s">
        <v>88</v>
      </c>
      <c r="B20" s="9" t="s">
        <v>77</v>
      </c>
      <c r="C20" s="41">
        <v>2</v>
      </c>
      <c r="D20" s="21">
        <f>CEILING(C3/12, 1)</f>
        <v>2</v>
      </c>
      <c r="E20" s="18"/>
    </row>
    <row r="21" spans="1:13" x14ac:dyDescent="0.4">
      <c r="A21" s="8" t="s">
        <v>89</v>
      </c>
      <c r="B21" s="9" t="s">
        <v>75</v>
      </c>
      <c r="C21" s="43" t="s">
        <v>145</v>
      </c>
      <c r="D21" s="21" t="str">
        <f>IF(COUNTIF('Team Information'!$1:$1, "Division") &gt; 0, "Disabled with divisions", IF(OR(MOD(C3, 2), C20 &gt; 2), "Yes", "No"))</f>
        <v>Yes</v>
      </c>
      <c r="E21" s="18"/>
    </row>
    <row r="22" spans="1:13" x14ac:dyDescent="0.4">
      <c r="A22" s="8" t="s">
        <v>147</v>
      </c>
      <c r="B22" s="9" t="s">
        <v>82</v>
      </c>
      <c r="C22" s="17">
        <f>IF(ISBLANK(C20), "N/A", IF(C21="Yes",1+_xlfn.CEILING.MATH((C3-1)/C20), _xlfn.CEILING.MATH(C3/C20)))</f>
        <v>11</v>
      </c>
      <c r="D22" s="11" t="s">
        <v>83</v>
      </c>
      <c r="E22" s="18"/>
      <c r="F22" s="10"/>
      <c r="J22" s="36"/>
    </row>
    <row r="23" spans="1:13" x14ac:dyDescent="0.4">
      <c r="A23" s="8" t="s">
        <v>90</v>
      </c>
      <c r="B23" s="9" t="s">
        <v>76</v>
      </c>
      <c r="C23" s="44">
        <v>17.5</v>
      </c>
      <c r="D23" s="11">
        <v>17.5</v>
      </c>
      <c r="E23" s="16"/>
    </row>
    <row r="24" spans="1:13" x14ac:dyDescent="0.4">
      <c r="A24" s="8" t="s">
        <v>91</v>
      </c>
      <c r="B24" s="9" t="s">
        <v>160</v>
      </c>
      <c r="C24" s="44">
        <v>4</v>
      </c>
      <c r="D24" s="11">
        <v>3</v>
      </c>
    </row>
    <row r="25" spans="1:13" x14ac:dyDescent="0.4">
      <c r="A25" s="8" t="s">
        <v>92</v>
      </c>
      <c r="B25" s="9" t="s">
        <v>79</v>
      </c>
      <c r="C25" s="44">
        <v>10</v>
      </c>
      <c r="D25" s="11">
        <f>IF(OR(C24 = 0, ISBLANK(C24), ISBLANK(C23)), "", MAX(C24*(20 - C23), 0))</f>
        <v>10</v>
      </c>
    </row>
    <row r="26" spans="1:13" x14ac:dyDescent="0.4">
      <c r="A26" s="37">
        <f>MAX(C19:D19) + C22*TIME(0, C23, 0) + IF(C24 &gt; 0, TIME(0, C25, 0)*FLOOR((C22 - IF(C21="Yes", 3, 2))/C24, 1), 0)</f>
        <v>0.54999999999999993</v>
      </c>
      <c r="B26" s="9" t="s">
        <v>81</v>
      </c>
      <c r="C26" s="14">
        <f>IF(COUNTBLANK(C15:C25) &gt; 2, "N/A", A26 + IF(A26&gt;C15, TIME(0, MAX(0, C16 - C25), 0), 0))</f>
        <v>0.56388888888888877</v>
      </c>
      <c r="K26" s="15"/>
      <c r="L26" s="15"/>
      <c r="M26" s="15"/>
    </row>
    <row r="27" spans="1:13" x14ac:dyDescent="0.4">
      <c r="C27" s="14"/>
      <c r="K27" s="15"/>
      <c r="L27" s="15"/>
      <c r="M27" s="15"/>
    </row>
    <row r="28" spans="1:13" s="32" customFormat="1" x14ac:dyDescent="0.4">
      <c r="A28" s="34" t="s">
        <v>97</v>
      </c>
      <c r="B28" s="31" t="s">
        <v>64</v>
      </c>
      <c r="C28" s="45" t="s">
        <v>166</v>
      </c>
      <c r="D28" s="46" t="s">
        <v>167</v>
      </c>
      <c r="K28" s="33"/>
      <c r="L28" s="33"/>
      <c r="M28" s="33"/>
    </row>
    <row r="29" spans="1:13" s="32" customFormat="1" x14ac:dyDescent="0.4">
      <c r="A29" s="34" t="s">
        <v>98</v>
      </c>
      <c r="B29" s="31" t="s">
        <v>65</v>
      </c>
      <c r="C29" s="45" t="s">
        <v>168</v>
      </c>
      <c r="D29" s="46" t="s">
        <v>169</v>
      </c>
      <c r="K29" s="33"/>
      <c r="L29" s="33"/>
      <c r="M29" s="33"/>
    </row>
    <row r="30" spans="1:13" s="32" customFormat="1" x14ac:dyDescent="0.4">
      <c r="A30" s="34" t="s">
        <v>99</v>
      </c>
      <c r="B30" s="31" t="s">
        <v>70</v>
      </c>
      <c r="C30" s="45" t="s">
        <v>170</v>
      </c>
      <c r="D30" s="46" t="s">
        <v>171</v>
      </c>
      <c r="K30" s="33"/>
      <c r="L30" s="33"/>
      <c r="M30" s="33"/>
    </row>
    <row r="31" spans="1:13" s="10" customFormat="1" x14ac:dyDescent="0.4">
      <c r="A31" s="8"/>
      <c r="B31" s="9"/>
      <c r="D31" s="11"/>
      <c r="K31" s="11"/>
      <c r="L31" s="11"/>
      <c r="M31" s="11"/>
    </row>
    <row r="32" spans="1:13" x14ac:dyDescent="0.4">
      <c r="B32" s="13" t="s">
        <v>73</v>
      </c>
      <c r="I32" s="9"/>
      <c r="J32" s="10"/>
    </row>
    <row r="33" spans="1:13" s="32" customFormat="1" ht="15.45" customHeight="1" x14ac:dyDescent="0.4">
      <c r="A33" s="34" t="s">
        <v>94</v>
      </c>
      <c r="B33" s="31" t="s">
        <v>150</v>
      </c>
      <c r="C33" s="32" t="s">
        <v>162</v>
      </c>
      <c r="D33" s="33" t="s">
        <v>172</v>
      </c>
      <c r="E33" s="32" t="s">
        <v>173</v>
      </c>
      <c r="F33" s="32" t="s">
        <v>174</v>
      </c>
      <c r="K33" s="33"/>
      <c r="L33" s="33"/>
      <c r="M33" s="33"/>
    </row>
    <row r="34" spans="1:13" s="32" customFormat="1" ht="15.45" customHeight="1" x14ac:dyDescent="0.4">
      <c r="A34" s="34" t="s">
        <v>179</v>
      </c>
      <c r="B34" s="31" t="s">
        <v>163</v>
      </c>
      <c r="D34" s="33"/>
      <c r="K34" s="33"/>
      <c r="L34" s="33"/>
      <c r="M34" s="33"/>
    </row>
    <row r="35" spans="1:13" s="6" customFormat="1" x14ac:dyDescent="0.4">
      <c r="A35" s="8" t="s">
        <v>95</v>
      </c>
      <c r="B35" s="9" t="s">
        <v>138</v>
      </c>
      <c r="C35" s="6">
        <v>10</v>
      </c>
      <c r="D35" s="6">
        <v>10</v>
      </c>
      <c r="E35" s="6">
        <v>8</v>
      </c>
      <c r="F35" s="6">
        <v>8</v>
      </c>
      <c r="K35" s="7"/>
      <c r="L35" s="7"/>
      <c r="M35" s="7"/>
    </row>
    <row r="36" spans="1:13" s="10" customFormat="1" x14ac:dyDescent="0.4">
      <c r="A36" s="8"/>
      <c r="B36" s="9" t="s">
        <v>139</v>
      </c>
      <c r="C36" s="10">
        <f>IF(ISBLANK(C33), "", 10)</f>
        <v>10</v>
      </c>
      <c r="D36" s="10">
        <f>IF(OR(ISBLANK(D33), ISBLANK(C36)), "", 10)</f>
        <v>10</v>
      </c>
      <c r="E36" s="10">
        <f t="shared" ref="E36:L36" si="0">IF(OR(ISBLANK(E33), ISBLANK(D36)), "", 8)</f>
        <v>8</v>
      </c>
      <c r="F36" s="10">
        <f t="shared" si="0"/>
        <v>8</v>
      </c>
      <c r="G36" s="10" t="str">
        <f t="shared" si="0"/>
        <v/>
      </c>
      <c r="H36" s="10" t="str">
        <f t="shared" si="0"/>
        <v/>
      </c>
      <c r="I36" s="10" t="str">
        <f t="shared" si="0"/>
        <v/>
      </c>
      <c r="J36" s="10" t="str">
        <f t="shared" si="0"/>
        <v/>
      </c>
      <c r="K36" s="10" t="str">
        <f t="shared" si="0"/>
        <v/>
      </c>
      <c r="L36" s="10" t="str">
        <f t="shared" si="0"/>
        <v/>
      </c>
      <c r="M36" s="11"/>
    </row>
    <row r="37" spans="1:13" s="10" customFormat="1" x14ac:dyDescent="0.4">
      <c r="A37" s="8"/>
      <c r="B37" s="9"/>
      <c r="M37" s="11"/>
    </row>
    <row r="38" spans="1:13" x14ac:dyDescent="0.4">
      <c r="A38" s="8" t="s">
        <v>93</v>
      </c>
      <c r="B38" s="9" t="s">
        <v>84</v>
      </c>
      <c r="C38" s="5">
        <v>2</v>
      </c>
      <c r="D38" s="11">
        <f>IF(OR(ISBLANK(C20), COUNTBLANK(C23:C25) &gt; 0), "N/A", CEILING(3/2*C20*C35/(C23+C25/C24), 1))</f>
        <v>2</v>
      </c>
    </row>
    <row r="39" spans="1:13" x14ac:dyDescent="0.4">
      <c r="A39" s="8" t="s">
        <v>153</v>
      </c>
      <c r="B39" s="9" t="s">
        <v>154</v>
      </c>
      <c r="C39" s="30" t="s">
        <v>145</v>
      </c>
    </row>
    <row r="40" spans="1:13" x14ac:dyDescent="0.4">
      <c r="A40" s="8" t="s">
        <v>156</v>
      </c>
      <c r="B40" s="9" t="s">
        <v>161</v>
      </c>
      <c r="C40" s="29">
        <v>10</v>
      </c>
    </row>
    <row r="41" spans="1:13" s="33" customFormat="1" x14ac:dyDescent="0.4">
      <c r="A41" s="34" t="s">
        <v>105</v>
      </c>
      <c r="B41" s="31" t="s">
        <v>104</v>
      </c>
      <c r="C41" s="33" t="s">
        <v>175</v>
      </c>
      <c r="D41" s="33" t="s">
        <v>176</v>
      </c>
    </row>
    <row r="42" spans="1:13" s="33" customFormat="1" x14ac:dyDescent="0.4">
      <c r="A42" s="34" t="s">
        <v>140</v>
      </c>
      <c r="B42" s="31" t="s">
        <v>155</v>
      </c>
      <c r="D42" s="33" t="s">
        <v>177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5">
    <cfRule type="expression" dxfId="5" priority="4">
      <formula>AND(COLUMN() &gt; 2, NOT(ISBLANK(A$33)))</formula>
    </cfRule>
  </conditionalFormatting>
  <conditionalFormatting sqref="A41:XFD41">
    <cfRule type="expression" dxfId="4" priority="13">
      <formula>AND(COLUMN() - 2 &gt; $C$38, NOT(ISBLANK(A41)))</formula>
    </cfRule>
    <cfRule type="expression" dxfId="3" priority="14">
      <formula>AND(COLUMN() &gt; 2, COLUMN()  - 3 &lt; $C$38, NOT(ISBLANK(A41)))</formula>
    </cfRule>
    <cfRule type="expression" dxfId="2" priority="15">
      <formula>AND(COLUMN() &gt; 2, COLUMN() - 3 &lt; $C$38)</formula>
    </cfRule>
  </conditionalFormatting>
  <conditionalFormatting sqref="A42:XFD42">
    <cfRule type="expression" dxfId="1" priority="16">
      <formula>AND(OR(ISBLANK(A41), COLUMN() - 2 &gt; $C$38), NOT(ISBLANK(A42)))</formula>
    </cfRule>
    <cfRule type="expression" dxfId="0" priority="17">
      <formula>AND(COLUMN() &gt; 2, COLUMN() - 3 &lt; $C$38, NOT(ISBLANK(A41)))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8" xr:uid="{311BABB6-58E0-4E57-8CC3-2F1F40587AB3}">
      <formula1>0</formula1>
    </dataValidation>
    <dataValidation type="decimal" operator="greaterThan" allowBlank="1" showInputMessage="1" showErrorMessage="1" sqref="C23 A35" xr:uid="{ED0546B4-7349-41C1-BFAD-32BAA738CCD3}">
      <formula1>0</formula1>
    </dataValidation>
    <dataValidation type="list" operator="greaterThan" allowBlank="1" showInputMessage="1" showErrorMessage="1" sqref="C39" xr:uid="{6218AE0D-2C17-480F-BB55-556A06BA172B}">
      <formula1>"Yes, No"</formula1>
    </dataValidation>
    <dataValidation type="decimal" operator="greaterThanOrEqual" allowBlank="1" showInputMessage="1" showErrorMessage="1" sqref="C35:XFD35" xr:uid="{FD4AC110-3841-4838-98D8-7B5BF1C23677}">
      <formula1>2.5</formula1>
    </dataValidation>
    <dataValidation type="whole" operator="greaterThanOrEqual" allowBlank="1" showInputMessage="1" showErrorMessage="1" sqref="C24 C40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2019-10-01T16:25:29Z</dcterms:modified>
</cp:coreProperties>
</file>