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ED87279A-5CEF-4E3B-A865-4ACAC7D40BD2}" xr6:coauthVersionLast="43" xr6:coauthVersionMax="43" xr10:uidLastSave="{00000000-0000-0000-0000-000000000000}"/>
  <bookViews>
    <workbookView xWindow="1406" yWindow="1406" windowWidth="19285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C22" i="26" s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<sst xmlns="http://schemas.openxmlformats.org/spreadsheetml/2006/main" count="180" uniqueCount="178">
  <si>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</si>
  <si>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</si>
  <si>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</si>
  <si>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</si>
  <si>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</si>
  <si>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</si>
  <si>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</si>
  <si>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</si>
  <si>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</si>
  <si>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</si>
  <si>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</si>
  <si>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</si>
  <si>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</si>
  <si>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</si>
  <si>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</si>
  <si>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</si>
  <si>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</si>
  <si>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</si>
  <si>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</si>
  <si>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</si>
  <si>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</si>
  <si>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</si>
  <si>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</si>
  <si>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</si>
  <si>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</si>
  <si>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</si>
  <si>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</si>
  <si>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</si>
  <si>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</si>
  <si>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</si>
  <si>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</si>
  <si>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</si>
  <si>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</si>
  <si>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</si>
  <si>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</si>
  <si>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</si>
  <si>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</si>
  <si>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</si>
  <si>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</si>
  <si>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</si>
  <si>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</si>
  <si>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</si>
  <si>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</si>
  <si>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</si>
  <si>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</si>
  <si>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</si>
  <si>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</si>
  <si>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</si>
  <si>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</si>
  <si>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</si>
  <si>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</si>
  <si>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</si>
  <si>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</si>
  <si>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</si>
  <si>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</si>
  <si>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</si>
  <si>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</si>
  <si>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</si>
  <si>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</si>
  <si>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</si>
  <si>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</si>
  <si>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</si>
  <si>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</si>
  <si>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</si>
  <si>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</si>
  <si>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</si>
  <si>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</si>
  <si>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</si>
  <si>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</si>
  <si>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</si>
  <si>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</si>
  <si>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</si>
  <si>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</si>
  <si>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</si>
  <si>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</si>
  <si>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</si>
  <si>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</si>
  <si>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</si>
  <si>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</si>
  <si>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</si>
  <si>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</si>
  <si>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</si>
  <si>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</si>
  <si>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</si>
  <si>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</si>
  <si>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</si>
  <si>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</si>
  <si>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</si>
  <si>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</si>
  <si>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</si>
  <si>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</si>
  <si>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</si>
  <si>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</si>
  <si>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</si>
  <si>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</si>
  <si>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</si>
  <si>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</si>
  <si>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</si>
  <si>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</si>
  <si>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</si>
  <si>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</si>
  <si>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</si>
  <si>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</si>
  <si>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</si>
  <si>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</si>
  <si>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</si>
  <si>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</si>
  <si>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</si>
  <si>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</si>
  <si>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</si>
  <si>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</si>
  <si>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</si>
  <si>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</si>
  <si>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</si>
  <si>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</si>
  <si>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</si>
  <si>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</si>
  <si>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</si>
  <si>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</si>
  <si>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</si>
  <si>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</si>
  <si>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</si>
  <si>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</si>
  <si>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</si>
  <si>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</si>
  <si>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</si>
  <si>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</si>
  <si>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</si>
  <si>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</si>
  <si>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</si>
  <si>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</si>
  <si>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</si>
  <si>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</si>
  <si>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</si>
  <si>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</si>
  <si>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</si>
  <si>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</si>
  <si>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</si>
  <si>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</si>
  <si>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</si>
  <si>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</si>
  <si>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</si>
  <si>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</si>
  <si>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</si>
  <si>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</si>
  <si>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</si>
  <si>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</si>
  <si>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</si>
  <si>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</si>
  <si>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</si>
  <si>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</si>
  <si>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</si>
  <si>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</si>
  <si>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</si>
  <si>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</si>
  <si>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</si>
  <si>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</si>
  <si>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</si>
  <si>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</si>
  <si>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</si>
  <si>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</si>
  <si>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</si>
  <si>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nodivisions small</t>
  </si>
  <si>
    <t>Gym</t>
  </si>
  <si>
    <t>Registration</t>
  </si>
  <si>
    <t>P1</t>
  </si>
  <si>
    <t>P2</t>
  </si>
  <si>
    <t>RD1</t>
  </si>
  <si>
    <t>RD2</t>
  </si>
  <si>
    <t>CV 1</t>
  </si>
  <si>
    <t>CV 2</t>
  </si>
  <si>
    <t>Practice</t>
  </si>
  <si>
    <t>Rd 1</t>
  </si>
  <si>
    <t>Rd 2</t>
  </si>
  <si>
    <t>Rd 3</t>
  </si>
  <si>
    <t>Hubert</t>
  </si>
  <si>
    <t>Louis</t>
  </si>
  <si>
    <t>Dewford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</si>
</sst>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3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</cellXfs>
  <cellStyles count="2">
    <cellStyle name="Hyperlink" xfId="1" builtinId="8"/>
    <cellStyle name="Normal" xfId="0" builtinId="0"/>
  </cellStyles>
  <dxfs count="20"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deluca@gmail.com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" Type="http://schemas.openxmlformats.org/officeDocument/2006/relationships/hyperlink" Target="mailto:mflin@yahoo.com" TargetMode="External"/><Relationship Id="rId21" Type="http://schemas.openxmlformats.org/officeDocument/2006/relationships/hyperlink" Target="mailto:audeto@gmail.com" TargetMode="External"/><Relationship Id="rId7" Type="http://schemas.openxmlformats.org/officeDocument/2006/relationships/hyperlink" Target="mailto:moley.moley.moley@gmail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0" Type="http://schemas.openxmlformats.org/officeDocument/2006/relationships/hyperlink" Target="mailto:bederd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1" Type="http://schemas.openxmlformats.org/officeDocument/2006/relationships/hyperlink" Target="mailto:salmonr@gmail.com" TargetMode="External"/><Relationship Id="rId5" Type="http://schemas.openxmlformats.org/officeDocument/2006/relationships/hyperlink" Target="mailto:leroib@gmail.com" TargetMode="External"/><Relationship Id="rId15" Type="http://schemas.openxmlformats.org/officeDocument/2006/relationships/hyperlink" Target="mailto:caballerot@gmail.com" TargetMode="External"/><Relationship Id="rId10" Type="http://schemas.openxmlformats.org/officeDocument/2006/relationships/hyperlink" Target="mailto:kiri.leroy@us.af.mil" TargetMode="External"/><Relationship Id="rId19" Type="http://schemas.openxmlformats.org/officeDocument/2006/relationships/hyperlink" Target="mailto:delkak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44"/>
  <sheetViews>
    <sheetView workbookViewId="0">
      <selection activeCell="B32" sqref="B32"/>
    </sheetView>
  </sheetViews>
  <sheetFormatPr defaultRowHeight="14.6" x14ac:dyDescent="0.4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 x14ac:dyDescent="0.4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 x14ac:dyDescent="0.4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 x14ac:dyDescent="0.4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 x14ac:dyDescent="0.4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 x14ac:dyDescent="0.4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 x14ac:dyDescent="0.4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 x14ac:dyDescent="0.4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 x14ac:dyDescent="0.4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 x14ac:dyDescent="0.4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 x14ac:dyDescent="0.4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 x14ac:dyDescent="0.4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 x14ac:dyDescent="0.4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 x14ac:dyDescent="0.4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 x14ac:dyDescent="0.4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 x14ac:dyDescent="0.4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 x14ac:dyDescent="0.4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 x14ac:dyDescent="0.4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 x14ac:dyDescent="0.4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 x14ac:dyDescent="0.4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 x14ac:dyDescent="0.4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 x14ac:dyDescent="0.4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 x14ac:dyDescent="0.4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 x14ac:dyDescent="0.4">
      <c r="D23" s="4"/>
      <c r="F23"/>
      <c r="G23"/>
    </row>
    <row r="24" spans="1:10" x14ac:dyDescent="0.4">
      <c r="D24" s="4"/>
      <c r="F24"/>
      <c r="G24"/>
    </row>
    <row r="25" spans="1:10" x14ac:dyDescent="0.4">
      <c r="D25" s="4"/>
      <c r="F25"/>
      <c r="G25"/>
    </row>
    <row r="26" spans="1:10" x14ac:dyDescent="0.4">
      <c r="D26" s="4"/>
      <c r="F26"/>
      <c r="G26"/>
    </row>
    <row r="27" spans="1:10" x14ac:dyDescent="0.4">
      <c r="D27" s="4"/>
      <c r="F27"/>
      <c r="G27"/>
    </row>
    <row r="28" spans="1:10" x14ac:dyDescent="0.4">
      <c r="D28" s="4"/>
      <c r="F28"/>
      <c r="G28"/>
    </row>
    <row r="29" spans="1:10" x14ac:dyDescent="0.4">
      <c r="D29" s="4"/>
      <c r="F29"/>
      <c r="G29"/>
    </row>
    <row r="30" spans="1:10" x14ac:dyDescent="0.4">
      <c r="D30" s="4"/>
      <c r="F30"/>
      <c r="G30"/>
    </row>
    <row r="31" spans="1:10" x14ac:dyDescent="0.4">
      <c r="D31" s="4"/>
      <c r="F31"/>
      <c r="G31"/>
    </row>
    <row r="32" spans="1:10" x14ac:dyDescent="0.4">
      <c r="D32" s="4"/>
      <c r="F32"/>
      <c r="G32"/>
    </row>
    <row r="33" spans="4:7" x14ac:dyDescent="0.4">
      <c r="D33" s="4"/>
      <c r="F33"/>
      <c r="G33"/>
    </row>
    <row r="34" spans="4:7" x14ac:dyDescent="0.4">
      <c r="D34" s="4"/>
      <c r="F34"/>
      <c r="G34"/>
    </row>
    <row r="35" spans="4:7" x14ac:dyDescent="0.4">
      <c r="D35" s="4"/>
      <c r="F35"/>
      <c r="G35"/>
    </row>
    <row r="36" spans="4:7" x14ac:dyDescent="0.4">
      <c r="D36" s="4"/>
      <c r="F36"/>
      <c r="G36"/>
    </row>
    <row r="37" spans="4:7" x14ac:dyDescent="0.4">
      <c r="D37" s="4"/>
      <c r="F37"/>
      <c r="G37"/>
    </row>
    <row r="38" spans="4:7" x14ac:dyDescent="0.4">
      <c r="D38" s="4"/>
      <c r="F38"/>
      <c r="G38"/>
    </row>
    <row r="39" spans="4:7" x14ac:dyDescent="0.4">
      <c r="D39" s="4"/>
      <c r="F39"/>
      <c r="G39"/>
    </row>
    <row r="40" spans="4:7" x14ac:dyDescent="0.4">
      <c r="D40" s="4"/>
      <c r="F40"/>
      <c r="G40"/>
    </row>
    <row r="41" spans="4:7" x14ac:dyDescent="0.4">
      <c r="D41" s="4"/>
      <c r="F41"/>
      <c r="G41"/>
    </row>
    <row r="42" spans="4:7" x14ac:dyDescent="0.4">
      <c r="D42" s="4"/>
    </row>
    <row r="43" spans="4:7" x14ac:dyDescent="0.4">
      <c r="D43" s="4"/>
    </row>
    <row r="44" spans="4:7" x14ac:dyDescent="0.4">
      <c r="D44" s="4"/>
    </row>
  </sheetData>
  <hyperlinks>
    <hyperlink ref="D2" r:id="rId1" xr:uid="{A6C2F5A3-D0A5-4EEC-B1A8-361ED48F8CA5}"/>
    <hyperlink ref="D3" r:id="rId2" xr:uid="{500021BC-6C1F-48F2-997C-169A0E07D32A}"/>
    <hyperlink ref="D4" r:id="rId3" xr:uid="{3C053D21-1945-4002-8A1F-46105A223D5F}"/>
    <hyperlink ref="D5" r:id="rId4" xr:uid="{752D299C-509D-49CB-A76A-E1828CBA9F9E}"/>
    <hyperlink ref="D6" r:id="rId5" xr:uid="{964E3119-2546-4F9C-ABC7-43478A9C1A28}"/>
    <hyperlink ref="D7" r:id="rId6" xr:uid="{1718BC2F-F61A-4A5D-9B86-ACEA16CF5739}"/>
    <hyperlink ref="D8" r:id="rId7" xr:uid="{7396E413-7319-4463-8E02-77364DF9D3DE}"/>
    <hyperlink ref="D9" r:id="rId8" xr:uid="{AA2690C8-EC3E-4AE1-9AF8-0D7AE17F8314}"/>
    <hyperlink ref="D10" r:id="rId9" xr:uid="{73B2F5CC-C71D-40CB-959F-D87F85A7D74F}"/>
    <hyperlink ref="D11" r:id="rId10" xr:uid="{0454CB04-E3F3-4DA1-8E58-58C4A9AA2B4F}"/>
    <hyperlink ref="D12" r:id="rId11" xr:uid="{6EBC4A11-0CEC-4CB7-AE47-4585C58A7F20}"/>
    <hyperlink ref="D13" r:id="rId12" xr:uid="{1BE5C738-3EC1-413F-9833-E0B6ECF11AA5}"/>
    <hyperlink ref="D14" r:id="rId13" xr:uid="{01DADB41-38F2-4B12-82FC-2DCD384AE872}"/>
    <hyperlink ref="D15" r:id="rId14" xr:uid="{D1D5C6D2-3451-4081-B7E5-A055034BA3D1}"/>
    <hyperlink ref="D16" r:id="rId15" xr:uid="{F2327099-289C-4E9B-A6AA-3C652353E436}"/>
    <hyperlink ref="D17" r:id="rId16" xr:uid="{02079EC8-B34B-486C-80C9-85C0859B120F}"/>
    <hyperlink ref="D18" r:id="rId17" xr:uid="{43B72F8F-4E6B-40D2-8A97-1E48A73F7140}"/>
    <hyperlink ref="D19" r:id="rId18" xr:uid="{D4914344-2CBC-4EA1-BF56-C2D14898BCB3}"/>
    <hyperlink ref="D20" r:id="rId19" xr:uid="{F7F66F54-6F04-4A47-8112-6EAD16777B48}"/>
    <hyperlink ref="D21" r:id="rId20" xr:uid="{904BDBDA-67CA-40DA-B259-6A7EC81AF77A}"/>
    <hyperlink ref="D22" r:id="rId21" xr:uid="{4484E73E-4383-4EFF-9979-F1253F17F476}"/>
  </hyperlinks>
  <pageMargins left="0.7" right="0.7" top="0.75" bottom="0.75" header="0.3" footer="0.3"/>
  <pageSetup orientation="portrait" r:id="rId2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40" sqref="C40:D41"/>
    </sheetView>
  </sheetViews>
  <sheetFormatPr defaultRowHeight="14.6" x14ac:dyDescent="0.4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 x14ac:dyDescent="0.4">
      <c r="A1" s="9" t="s">
        <v>102</v>
      </c>
      <c r="B1" s="10" t="s">
        <v>101</v>
      </c>
      <c r="C1" s="11" t="s">
        <v>103</v>
      </c>
    </row>
    <row r="2" spans="1:13" s="26" customFormat="1" ht="18.45" x14ac:dyDescent="0.5">
      <c r="A2" s="27" t="s">
        <v>96</v>
      </c>
      <c r="B2" s="28" t="s">
        <v>66</v>
      </c>
      <c r="C2" s="42" t="s">
        <v>162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 x14ac:dyDescent="0.4">
      <c r="B3" s="10" t="s">
        <v>74</v>
      </c>
      <c r="C3" s="11">
        <f>COUNTA('Team Information'!A:A) - COUNTA('Team Information'!A1)</f>
        <v>21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0.61666666666666647</v>
      </c>
    </row>
    <row r="6" spans="1:13" x14ac:dyDescent="0.4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 x14ac:dyDescent="0.4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 x14ac:dyDescent="0.4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 x14ac:dyDescent="0.4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 x14ac:dyDescent="0.4">
      <c r="A10" s="9" t="s">
        <v>132</v>
      </c>
      <c r="B10" s="10" t="s">
        <v>135</v>
      </c>
      <c r="C10" s="31" t="s">
        <v>163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 x14ac:dyDescent="0.4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 x14ac:dyDescent="0.4">
      <c r="A12" s="9" t="s">
        <v>130</v>
      </c>
      <c r="B12" s="10" t="s">
        <v>148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 x14ac:dyDescent="0.4">
      <c r="A13" s="9" t="s">
        <v>136</v>
      </c>
      <c r="B13" s="10" t="s">
        <v>137</v>
      </c>
      <c r="C13" s="31" t="s">
        <v>164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 x14ac:dyDescent="0.4">
      <c r="A14" s="9" t="s">
        <v>151</v>
      </c>
      <c r="B14" s="10" t="s">
        <v>157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 x14ac:dyDescent="0.4">
      <c r="A15" s="9" t="s">
        <v>152</v>
      </c>
      <c r="B15" s="10" t="s">
        <v>158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 x14ac:dyDescent="0.4">
      <c r="A16" s="9" t="s">
        <v>149</v>
      </c>
      <c r="B16" s="10" t="s">
        <v>159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 x14ac:dyDescent="0.4">
      <c r="A17" s="9" t="s">
        <v>145</v>
      </c>
      <c r="B17" s="14"/>
      <c r="H17" s="36"/>
      <c r="J17" s="36"/>
    </row>
    <row r="18" spans="1:13" x14ac:dyDescent="0.4">
      <c r="A18" s="9" t="s">
        <v>146</v>
      </c>
      <c r="B18" s="14" t="s">
        <v>72</v>
      </c>
      <c r="D18" s="16" t="s">
        <v>69</v>
      </c>
    </row>
    <row r="19" spans="1:13" x14ac:dyDescent="0.4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 x14ac:dyDescent="0.4">
      <c r="A20" s="9" t="s">
        <v>88</v>
      </c>
      <c r="B20" s="10" t="s">
        <v>77</v>
      </c>
      <c r="C20" s="5">
        <v>2</v>
      </c>
      <c r="D20" s="22">
        <f>CEILING(C3/12, 1)</f>
        <v>2</v>
      </c>
      <c r="E20" s="19"/>
    </row>
    <row r="21" spans="1:13" x14ac:dyDescent="0.4">
      <c r="A21" s="9" t="s">
        <v>89</v>
      </c>
      <c r="B21" s="10" t="s">
        <v>75</v>
      </c>
      <c r="C21" s="31" t="s">
        <v>146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 x14ac:dyDescent="0.4">
      <c r="A22" s="9" t="s">
        <v>147</v>
      </c>
      <c r="B22" s="10" t="s">
        <v>82</v>
      </c>
      <c r="C22" s="18">
        <f>IF(ISBLANK(C20), "N/A", IF(C21="Yes",1+_xlfn.CEILING.MATH((C3-1)/C20), _xlfn.CEILING.MATH(C3/C20)))</f>
        <v>11</v>
      </c>
      <c r="D22" s="12" t="s">
        <v>83</v>
      </c>
      <c r="E22" s="19"/>
      <c r="F22" s="11"/>
      <c r="J22" s="37"/>
    </row>
    <row r="23" spans="1:13" x14ac:dyDescent="0.4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 x14ac:dyDescent="0.4">
      <c r="A24" s="9" t="s">
        <v>91</v>
      </c>
      <c r="B24" s="10" t="s">
        <v>160</v>
      </c>
      <c r="C24" s="5">
        <v>4</v>
      </c>
      <c r="D24" s="12">
        <v>3</v>
      </c>
    </row>
    <row r="25" spans="1:13" x14ac:dyDescent="0.4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 x14ac:dyDescent="0.4">
      <c r="A26" s="38">
        <f>MAX(C19:D19) + C22*TIME(0, C23, 0) + IF(C24 &gt; 0, TIME(0, C25, 0)*FLOOR((C22 - IF(C21="Yes", 3, 2))/C24, 1), 0)</f>
        <v>0.54999999999999993</v>
      </c>
      <c r="B26" s="10" t="s">
        <v>81</v>
      </c>
      <c r="C26" s="15">
        <f>IF(COUNTBLANK(C15:C25) &gt; 2, "N/A", A26 + IF(A26&gt;C15, TIME(0, MAX(0, C16 - C25), 0), 0))</f>
        <v>0.56388888888888877</v>
      </c>
      <c r="K26" s="16"/>
      <c r="L26" s="16"/>
      <c r="M26" s="16"/>
    </row>
    <row r="27" spans="1:13" x14ac:dyDescent="0.4">
      <c r="C27" s="15"/>
      <c r="K27" s="16"/>
      <c r="L27" s="16"/>
      <c r="M27" s="16"/>
    </row>
    <row r="28" spans="1:13" s="33" customFormat="1" x14ac:dyDescent="0.4">
      <c r="A28" s="35" t="s">
        <v>97</v>
      </c>
      <c r="B28" s="32" t="s">
        <v>64</v>
      </c>
      <c r="C28" s="33" t="s">
        <v>165</v>
      </c>
      <c r="D28" s="34" t="s">
        <v>166</v>
      </c>
      <c r="K28" s="34"/>
      <c r="L28" s="34"/>
      <c r="M28" s="34"/>
    </row>
    <row r="29" spans="1:13" s="33" customFormat="1" x14ac:dyDescent="0.4">
      <c r="A29" s="35" t="s">
        <v>98</v>
      </c>
      <c r="B29" s="32" t="s">
        <v>65</v>
      </c>
      <c r="C29" s="33" t="s">
        <v>167</v>
      </c>
      <c r="D29" s="34" t="s">
        <v>168</v>
      </c>
      <c r="K29" s="34"/>
      <c r="L29" s="34"/>
      <c r="M29" s="34"/>
    </row>
    <row r="30" spans="1:13" s="33" customFormat="1" x14ac:dyDescent="0.4">
      <c r="A30" s="35" t="s">
        <v>99</v>
      </c>
      <c r="B30" s="32" t="s">
        <v>70</v>
      </c>
      <c r="C30" s="33" t="s">
        <v>169</v>
      </c>
      <c r="D30" s="34" t="s">
        <v>170</v>
      </c>
      <c r="K30" s="34"/>
      <c r="L30" s="34"/>
      <c r="M30" s="34"/>
    </row>
    <row r="31" spans="1:13" s="11" customFormat="1" x14ac:dyDescent="0.4">
      <c r="A31" s="9"/>
      <c r="B31" s="10"/>
      <c r="D31" s="12"/>
      <c r="K31" s="12"/>
      <c r="L31" s="12"/>
      <c r="M31" s="12"/>
    </row>
    <row r="32" spans="1:13" x14ac:dyDescent="0.4">
      <c r="B32" s="14" t="s">
        <v>73</v>
      </c>
      <c r="I32" s="10"/>
      <c r="J32" s="11"/>
    </row>
    <row r="33" spans="1:13" s="33" customFormat="1" ht="15.45" customHeight="1" x14ac:dyDescent="0.4">
      <c r="A33" s="35" t="s">
        <v>94</v>
      </c>
      <c r="B33" s="32" t="s">
        <v>150</v>
      </c>
      <c r="C33" s="33" t="s">
        <v>171</v>
      </c>
      <c r="D33" s="34" t="s">
        <v>172</v>
      </c>
      <c r="E33" s="33" t="s">
        <v>173</v>
      </c>
      <c r="F33" s="33" t="s">
        <v>174</v>
      </c>
      <c r="K33" s="34"/>
      <c r="L33" s="34"/>
      <c r="M33" s="34"/>
    </row>
    <row r="34" spans="1:13" s="7" customFormat="1" x14ac:dyDescent="0.4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 x14ac:dyDescent="0.4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 x14ac:dyDescent="0.4">
      <c r="A36" s="9"/>
      <c r="B36" s="10"/>
      <c r="M36" s="12"/>
    </row>
    <row r="37" spans="1:13" x14ac:dyDescent="0.4">
      <c r="A37" s="9" t="s">
        <v>93</v>
      </c>
      <c r="B37" s="10" t="s">
        <v>84</v>
      </c>
      <c r="C37" s="5">
        <v>2</v>
      </c>
      <c r="D37" s="12">
        <f>IF(OR(ISBLANK(C20), COUNTBLANK(C23:C25) &gt; 0), "N/A", CEILING(3/2*C20*C34/(C23+C25/C24), 1))</f>
        <v>2</v>
      </c>
    </row>
    <row r="38" spans="1:13" x14ac:dyDescent="0.4">
      <c r="A38" s="9" t="s">
        <v>153</v>
      </c>
      <c r="B38" s="10" t="s">
        <v>154</v>
      </c>
      <c r="C38" s="31" t="s">
        <v>146</v>
      </c>
    </row>
    <row r="39" spans="1:13" x14ac:dyDescent="0.4">
      <c r="A39" s="9" t="s">
        <v>156</v>
      </c>
      <c r="B39" s="10" t="s">
        <v>161</v>
      </c>
      <c r="C39" s="30">
        <v>10</v>
      </c>
    </row>
    <row r="40" spans="1:13" s="34" customFormat="1" x14ac:dyDescent="0.4">
      <c r="A40" s="35" t="s">
        <v>105</v>
      </c>
      <c r="B40" s="32" t="s">
        <v>104</v>
      </c>
      <c r="C40" s="34" t="s">
        <v>175</v>
      </c>
      <c r="D40" s="34" t="s">
        <v>176</v>
      </c>
    </row>
    <row r="41" spans="1:13" s="34" customFormat="1" x14ac:dyDescent="0.4">
      <c r="A41" s="35" t="s">
        <v>140</v>
      </c>
      <c r="B41" s="32" t="s">
        <v>155</v>
      </c>
      <c r="D41" s="34" t="s">
        <v>177</v>
      </c>
    </row>
  </sheetData>
  <sheetProtection sheet="1" selectLockedCells="1"/>
  <mergeCells count="3">
    <mergeCell ref="E3:I3"/>
    <mergeCell ref="D6:L7"/>
    <mergeCell ref="C2:J2"/>
  </mergeCells>
  <conditionalFormatting sqref="A28:B30 E28:XFD30">
    <cfRule type="expression" dxfId="19" priority="19">
      <formula>AND(COLUMN() - 2 &gt; $C$20, NOT(ISBLANK(A28)))</formula>
    </cfRule>
    <cfRule type="expression" dxfId="18" priority="21">
      <formula>AND(COLUMN() &gt; 2, COLUMN()  - 3 &lt; $C$20, NOT(ISBLANK(A28)))</formula>
    </cfRule>
    <cfRule type="expression" dxfId="17" priority="22">
      <formula>AND(COLUMN() &gt; 2, COLUMN() - 3 &lt; $C$20)</formula>
    </cfRule>
  </conditionalFormatting>
  <conditionalFormatting sqref="A33:B33 G33:XFD33">
    <cfRule type="expression" dxfId="16" priority="18">
      <formula>AND(COLUMN() - 4 &lt; COUNTA(A$33:$C$33), COLUMN() &gt; 2)</formula>
    </cfRule>
  </conditionalFormatting>
  <conditionalFormatting sqref="A34:B34 G34:XFD34">
    <cfRule type="expression" dxfId="15" priority="14">
      <formula>AND(COLUMN() - 4 &lt; COUNTA(A$34:$C$34), COLUMN() &gt; 2, NOT(ISBLANK(A33)))</formula>
    </cfRule>
  </conditionalFormatting>
  <conditionalFormatting sqref="A40:B40 E40:XFD40">
    <cfRule type="expression" dxfId="14" priority="23">
      <formula>AND(COLUMN() - 2 &gt; $C$37, NOT(ISBLANK(A40)))</formula>
    </cfRule>
    <cfRule type="expression" dxfId="13" priority="24">
      <formula>AND(COLUMN() &gt; 2, COLUMN()  - 3 &lt; $C$37, NOT(ISBLANK(A40)))</formula>
    </cfRule>
    <cfRule type="expression" dxfId="12" priority="25">
      <formula>AND(COLUMN() &gt; 2, COLUMN() - 3 &lt; $C$37)</formula>
    </cfRule>
  </conditionalFormatting>
  <conditionalFormatting sqref="A41:B41 E41:XFD41">
    <cfRule type="expression" dxfId="11" priority="26">
      <formula>AND(OR(ISBLANK(A40), COLUMN() - 2 &gt; $C$37), NOT(ISBLANK(A41)))</formula>
    </cfRule>
    <cfRule type="expression" dxfId="10" priority="27">
      <formula>AND(COLUMN() &gt; 2, COLUMN() - 3 &lt; $C$37, NOT(ISBLANK(A40)))</formula>
    </cfRule>
  </conditionalFormatting>
  <conditionalFormatting sqref="C28:D30">
    <cfRule type="expression" dxfId="9" priority="8">
      <formula>AND(COLUMN() - 2 &gt; $C$20, NOT(ISBLANK(C28)))</formula>
    </cfRule>
    <cfRule type="expression" dxfId="8" priority="9">
      <formula>AND(COLUMN() &gt; 2, COLUMN()  - 3 &lt; $C$20, NOT(ISBLANK(C28)))</formula>
    </cfRule>
    <cfRule type="expression" dxfId="7" priority="10">
      <formula>AND(COLUMN() &gt; 2, COLUMN() - 3 &lt; $C$20)</formula>
    </cfRule>
  </conditionalFormatting>
  <conditionalFormatting sqref="C33:F33">
    <cfRule type="expression" dxfId="6" priority="7">
      <formula>AND(COLUMN() - 4 &lt; COUNTA(C$33:$C$33), COLUMN() &gt; 2)</formula>
    </cfRule>
  </conditionalFormatting>
  <conditionalFormatting sqref="C34:F34">
    <cfRule type="expression" dxfId="5" priority="6">
      <formula>AND(COLUMN() - 4 &lt; COUNTA(C$34:$C$34), COLUMN() &gt; 2, NOT(ISBLANK(C33)))</formula>
    </cfRule>
  </conditionalFormatting>
  <conditionalFormatting sqref="C40:D40">
    <cfRule type="expression" dxfId="4" priority="1">
      <formula>AND(COLUMN() - 2 &gt; $C$37, NOT(ISBLANK(C40)))</formula>
    </cfRule>
    <cfRule type="expression" dxfId="3" priority="2">
      <formula>AND(COLUMN() &gt; 2, COLUMN()  - 3 &lt; $C$37, NOT(ISBLANK(C40)))</formula>
    </cfRule>
    <cfRule type="expression" dxfId="2" priority="3">
      <formula>AND(COLUMN() &gt; 2, COLUMN() - 3 &lt; $C$37)</formula>
    </cfRule>
  </conditionalFormatting>
  <conditionalFormatting sqref="C41:D41">
    <cfRule type="expression" dxfId="1" priority="4">
      <formula>AND(OR(ISBLANK(C40), COLUMN() - 2 &gt; $C$37), NOT(ISBLANK(C41)))</formula>
    </cfRule>
    <cfRule type="expression" dxfId="0" priority="5">
      <formula>AND(COLUMN() &gt; 2, COLUMN() - 3 &lt; $C$37, NOT(ISBLANK(C40)))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2019-05-05T23:52:17Z</dcterms:modified>
</cp:coreProperties>
</file>